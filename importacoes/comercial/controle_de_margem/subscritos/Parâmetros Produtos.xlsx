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\OneDrive\Área de Trabalho\"/>
    </mc:Choice>
  </mc:AlternateContent>
  <xr:revisionPtr revIDLastSave="0" documentId="8_{FD8C7B53-CD2B-4318-8C79-9051D65D041F}" xr6:coauthVersionLast="47" xr6:coauthVersionMax="47" xr10:uidLastSave="{00000000-0000-0000-0000-000000000000}"/>
  <bookViews>
    <workbookView xWindow="-120" yWindow="-120" windowWidth="20730" windowHeight="11040" xr2:uid="{AC8B3963-D35B-4898-975E-B292E9BDC4DE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5" i="1" l="1"/>
  <c r="L75" i="1"/>
  <c r="N74" i="1"/>
  <c r="L74" i="1"/>
  <c r="N73" i="1"/>
  <c r="L73" i="1"/>
  <c r="N72" i="1"/>
  <c r="L72" i="1"/>
  <c r="N71" i="1"/>
  <c r="L71" i="1"/>
  <c r="N70" i="1"/>
  <c r="L70" i="1"/>
  <c r="N69" i="1"/>
  <c r="L69" i="1"/>
  <c r="N68" i="1"/>
  <c r="L68" i="1"/>
  <c r="N67" i="1"/>
  <c r="L67" i="1"/>
  <c r="N66" i="1"/>
  <c r="L66" i="1"/>
  <c r="N65" i="1"/>
  <c r="L65" i="1"/>
  <c r="N64" i="1"/>
  <c r="L64" i="1"/>
  <c r="N63" i="1"/>
  <c r="L63" i="1"/>
  <c r="N62" i="1"/>
  <c r="L62" i="1"/>
  <c r="N61" i="1"/>
  <c r="L61" i="1"/>
  <c r="N60" i="1"/>
  <c r="L60" i="1"/>
  <c r="N59" i="1"/>
  <c r="L59" i="1"/>
  <c r="N58" i="1"/>
  <c r="L58" i="1"/>
  <c r="N57" i="1"/>
  <c r="L57" i="1"/>
  <c r="N56" i="1"/>
  <c r="L56" i="1"/>
  <c r="N55" i="1"/>
  <c r="L55" i="1"/>
  <c r="N54" i="1"/>
  <c r="L54" i="1"/>
  <c r="N53" i="1"/>
  <c r="L53" i="1"/>
  <c r="N52" i="1"/>
  <c r="L52" i="1"/>
  <c r="N51" i="1"/>
  <c r="L51" i="1"/>
  <c r="N50" i="1"/>
  <c r="L50" i="1"/>
  <c r="N49" i="1"/>
  <c r="L49" i="1"/>
  <c r="N48" i="1"/>
  <c r="L48" i="1"/>
  <c r="N47" i="1"/>
  <c r="L47" i="1"/>
  <c r="N46" i="1"/>
  <c r="L46" i="1"/>
  <c r="N45" i="1"/>
  <c r="L45" i="1"/>
  <c r="N44" i="1"/>
  <c r="L44" i="1"/>
  <c r="N43" i="1"/>
  <c r="L43" i="1"/>
  <c r="N42" i="1"/>
  <c r="L42" i="1"/>
  <c r="N41" i="1"/>
  <c r="L41" i="1"/>
  <c r="N40" i="1"/>
  <c r="L40" i="1"/>
  <c r="N39" i="1"/>
  <c r="L39" i="1"/>
  <c r="N38" i="1"/>
  <c r="L38" i="1"/>
  <c r="N37" i="1"/>
  <c r="L37" i="1"/>
  <c r="N36" i="1"/>
  <c r="L36" i="1"/>
  <c r="N35" i="1"/>
  <c r="L35" i="1"/>
  <c r="N34" i="1"/>
  <c r="L34" i="1"/>
  <c r="N33" i="1"/>
  <c r="L33" i="1"/>
  <c r="N32" i="1"/>
  <c r="L32" i="1"/>
  <c r="N31" i="1"/>
  <c r="L31" i="1"/>
  <c r="N30" i="1"/>
  <c r="L30" i="1"/>
  <c r="N29" i="1"/>
  <c r="L29" i="1"/>
  <c r="N28" i="1"/>
  <c r="L28" i="1"/>
  <c r="N27" i="1"/>
  <c r="L27" i="1"/>
  <c r="N26" i="1"/>
  <c r="L26" i="1"/>
  <c r="N25" i="1"/>
  <c r="L25" i="1"/>
  <c r="N24" i="1"/>
  <c r="L24" i="1"/>
  <c r="N23" i="1"/>
  <c r="L23" i="1"/>
  <c r="N22" i="1"/>
  <c r="L22" i="1"/>
  <c r="N21" i="1"/>
  <c r="L21" i="1"/>
  <c r="N20" i="1"/>
  <c r="L20" i="1"/>
  <c r="N19" i="1"/>
  <c r="L19" i="1"/>
  <c r="N18" i="1"/>
  <c r="L18" i="1"/>
  <c r="N17" i="1"/>
  <c r="L17" i="1"/>
  <c r="N16" i="1"/>
  <c r="L16" i="1"/>
  <c r="N15" i="1"/>
  <c r="L15" i="1"/>
  <c r="N14" i="1"/>
  <c r="L14" i="1"/>
  <c r="N13" i="1"/>
  <c r="L13" i="1"/>
  <c r="N12" i="1"/>
  <c r="L12" i="1"/>
  <c r="N11" i="1"/>
  <c r="L11" i="1"/>
  <c r="N10" i="1"/>
  <c r="L10" i="1"/>
  <c r="N9" i="1"/>
  <c r="L9" i="1"/>
  <c r="N8" i="1"/>
  <c r="L8" i="1"/>
  <c r="N7" i="1"/>
  <c r="L7" i="1"/>
  <c r="N6" i="1"/>
  <c r="L6" i="1"/>
  <c r="N5" i="1"/>
  <c r="L5" i="1"/>
  <c r="N4" i="1"/>
  <c r="L4" i="1"/>
  <c r="N3" i="1"/>
  <c r="L3" i="1"/>
  <c r="N2" i="1"/>
  <c r="L2" i="1"/>
</calcChain>
</file>

<file path=xl/sharedStrings.xml><?xml version="1.0" encoding="utf-8"?>
<sst xmlns="http://schemas.openxmlformats.org/spreadsheetml/2006/main" count="163" uniqueCount="91">
  <si>
    <t>Código</t>
  </si>
  <si>
    <t>Status</t>
  </si>
  <si>
    <t>Produto</t>
  </si>
  <si>
    <t>KG</t>
  </si>
  <si>
    <t>Remuneração por fardo</t>
  </si>
  <si>
    <t>PPM</t>
  </si>
  <si>
    <t>Peso (KG)</t>
  </si>
  <si>
    <t>Pacote por Fardo</t>
  </si>
  <si>
    <t>Turno</t>
  </si>
  <si>
    <t>Horas</t>
  </si>
  <si>
    <t>Setup</t>
  </si>
  <si>
    <t>Horas Úteis</t>
  </si>
  <si>
    <t>Empacotadeiras</t>
  </si>
  <si>
    <t>Produção por Dia (FD)</t>
  </si>
  <si>
    <t>Estoque Mínimo (Pacote)</t>
  </si>
  <si>
    <t>Ativo</t>
  </si>
  <si>
    <t>ACUCAR SAFIRA 30X1KG</t>
  </si>
  <si>
    <t>ACUCAR SAFIRA 15X2KG</t>
  </si>
  <si>
    <t>ACUCAR SAFIRA 6X5KG</t>
  </si>
  <si>
    <t>ACUCAR SAFIRA 50 KG</t>
  </si>
  <si>
    <t>ACUCAR SAFIRA 25 KG</t>
  </si>
  <si>
    <t>EMB. SAC RAF CRIS LAM SAFIRA 50 KG</t>
  </si>
  <si>
    <t>ACUCAR RENDE BEM 6X5KG</t>
  </si>
  <si>
    <t>ACUCAR VARREDURA 50 KG</t>
  </si>
  <si>
    <t>FEIJAO PRETO SAFIRA 30X1KG</t>
  </si>
  <si>
    <t>ACUCAR CRISTAL TIPO 2 BIG BAG</t>
  </si>
  <si>
    <t>EMB. FILM. IMP. SAFIRA ARROZ 5KG</t>
  </si>
  <si>
    <t>EMB. FILME CAPA FARDO MANUAL</t>
  </si>
  <si>
    <t>EMB. FILME STRECH AUTOMATICO</t>
  </si>
  <si>
    <t>EMB. BIG BAG COOPERSUCAR</t>
  </si>
  <si>
    <t>EMB. FILME STRECH MANUAL</t>
  </si>
  <si>
    <t>ACUCAR MARANATA 30X1KG</t>
  </si>
  <si>
    <t>OLEO SOJA SOYA 20X900ML</t>
  </si>
  <si>
    <t>ACUCAR ESMERALDA 6X5KG</t>
  </si>
  <si>
    <t>EMB. FILME CAPA FARDO AUTOMATICO</t>
  </si>
  <si>
    <t>EMB. SAC RAF CRIS LAM SAFIRA 25 KG</t>
  </si>
  <si>
    <t>EMB. FILM. IMP. SAFIRA CRISTA 2KG</t>
  </si>
  <si>
    <t>EMB. FILM. IMP. SAFIRA CRISTA 5KG</t>
  </si>
  <si>
    <t>EMB. FILM. IMP. ESMERA CRISTA 2KG</t>
  </si>
  <si>
    <t>EMB. FILM. IMP. ESMERA CRISTA 5KG</t>
  </si>
  <si>
    <t>EMB. FILM. IMP. SAFIRA CRISTA  1KG</t>
  </si>
  <si>
    <t>ARROZ SAFIRA 6X5KG</t>
  </si>
  <si>
    <t>Inativo</t>
  </si>
  <si>
    <t>ANULACAO DE SERVICO DE CTE</t>
  </si>
  <si>
    <t>FEIJAO CARIOCA SAFIRA 30X1KG</t>
  </si>
  <si>
    <t>OLEO SOJA COMIGO 20X900ML</t>
  </si>
  <si>
    <t>OLEO SOJA BRASILEIRO 20X900ML</t>
  </si>
  <si>
    <t>ACUCAR CRISTAL TIPO 2 SACARIA</t>
  </si>
  <si>
    <t>SAB BARRA MINUANO NEUTRO 5X20X180GR</t>
  </si>
  <si>
    <t>LEITE CONDENSADO ITALAC 27X395GR</t>
  </si>
  <si>
    <t>BARALHO COPAG 139 NG 6X1</t>
  </si>
  <si>
    <t>LAMP OUROLUX EC HALG CLAR H150 120W 220V</t>
  </si>
  <si>
    <t>AR AGRADAVEL AQUAMARINE 12X400ML</t>
  </si>
  <si>
    <t>LAMINA BARB GILETTE PLATIN 12X5UN</t>
  </si>
  <si>
    <t>CORANTE XADREZ PRETO 12X50 ML</t>
  </si>
  <si>
    <t>CHICLETE TRIDENT CEREJA 1X21UN</t>
  </si>
  <si>
    <t>SABON PROTEX DETOX CARVAO 12X85GR</t>
  </si>
  <si>
    <t>AMACIANTE DOWNY CONC MISTICO 12X500ML</t>
  </si>
  <si>
    <t>CREME SKALA OLEO ARGAN 1KG</t>
  </si>
  <si>
    <t>DOCE AMORE MARRON GLACE PACK 36X300G</t>
  </si>
  <si>
    <t>PURIFICADOR BOM AR LAVANDA ECO 12X360ML</t>
  </si>
  <si>
    <t>PURIFICADOR BOM AR TALCO ECO 12X360ML</t>
  </si>
  <si>
    <t>ISENT BAYGON AERO MATA BARATA 12X360ML</t>
  </si>
  <si>
    <t>AR AGRADAVEL CHA BRANCO 12X400ML</t>
  </si>
  <si>
    <t>CHICLE BUBBALO UVA 1X60UN</t>
  </si>
  <si>
    <t>GOIABADA LATA PREDILETA 12X600G</t>
  </si>
  <si>
    <t>AMEIXA SECA OLE LT 12X500G</t>
  </si>
  <si>
    <t>LEITE CONDENSADO PIRACANJUBA 27X270G</t>
  </si>
  <si>
    <t>SAL MOIDO SUPERSAL 30X1KG</t>
  </si>
  <si>
    <t>AMACIANTE YPE TERNURA RS 6X2LT</t>
  </si>
  <si>
    <t>SABON PROTEX BALANCE SAUDAVEL 12X85GR</t>
  </si>
  <si>
    <t>MACARRAO INST NISSIN LAMEM GAL/CAIPI 85G</t>
  </si>
  <si>
    <t>BEB CATUABA SELVAGEM 12X900ML</t>
  </si>
  <si>
    <t>TEMPERO SAZON FEIJAO MARRON 4X12X60G</t>
  </si>
  <si>
    <t>SABON PROTEX MACADAMIA 12X85GR</t>
  </si>
  <si>
    <t>SABON PROTEX AVEIA 12X85GR</t>
  </si>
  <si>
    <t>SABON PROTEX CREAM 12X85GR</t>
  </si>
  <si>
    <t>FECULA MANDIOCA AMAFIL SC 1X25KG</t>
  </si>
  <si>
    <t>SABON PROTEX ERVA DOCE 12X85GR</t>
  </si>
  <si>
    <t>AGUA OXIGENADA CRUZEIRO 20VL 12X90ML</t>
  </si>
  <si>
    <t>EXTRATO TOMATE OLE CP 12X260GR</t>
  </si>
  <si>
    <t>PAPEL ALUM BOREDA 0,45X7,5MT 1X12UN</t>
  </si>
  <si>
    <t>FOSFORO BEIJA FLOR 6X20X10UN</t>
  </si>
  <si>
    <t>LIMP PERF CASA &amp; PERF SPECIALE 12X500ML</t>
  </si>
  <si>
    <t>ERVILHA OLE VD 12X170GR</t>
  </si>
  <si>
    <t>REFRESCO MARATA TANGERINA 8X15X25G</t>
  </si>
  <si>
    <t>INSET BAYGON AERO MULTI LARANJA 12X285ML</t>
  </si>
  <si>
    <t>SABON PROTEX MEN SPORT 12X85GR</t>
  </si>
  <si>
    <t>ACUCAR CRISTAL TIPO 1</t>
  </si>
  <si>
    <t>ACUCAR RENDE BEM 30X1KG</t>
  </si>
  <si>
    <t>ACUCAR RENDE BEM 15X2KG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</si>
</sst>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theme="7" tint="0.79995117038483843"/>
      </patternFill>
    </fill>
  </fills>
  <borders count="3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4" fontId="1" fillId="0" borderId="1" xfId="0" applyNumberFormat="1" applyFont="1" applyBorder="1" applyAlignment="1">
      <alignment vertical="top" wrapText="1"/>
    </xf>
    <xf numFmtId="0" fontId="0" fillId="2" borderId="2" xfId="0" applyFill="1" applyBorder="1"/>
    <xf numFmtId="164" fontId="0" fillId="2" borderId="2" xfId="0" applyNumberFormat="1" applyFill="1" applyBorder="1"/>
    <xf numFmtId="4" fontId="0" fillId="2" borderId="2" xfId="0" applyNumberFormat="1" applyFill="1" applyBorder="1"/>
    <xf numFmtId="0" fontId="0" fillId="0" borderId="2" xfId="0" applyBorder="1"/>
    <xf numFmtId="164" fontId="0" fillId="0" borderId="2" xfId="0" applyNumberFormat="1" applyBorder="1"/>
    <xf numFmtId="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nri\OneDrive\&#193;rea%20de%20Trabalho\Painel%20de%20Gerenciamento%20-%20BI%20SAFIA%20V48.xlsb" TargetMode="External"/><Relationship Id="rId1" Type="http://schemas.openxmlformats.org/officeDocument/2006/relationships/externalLinkPath" Target="Painel%20de%20Gerenciamento%20-%20BI%20SAFIA%20V48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âmetros Arquivos"/>
      <sheetName val="#Resultado Quadro Faturamento"/>
      <sheetName val="#Resultado Quadro Produção"/>
      <sheetName val="#Resultado QD Venda Categoria"/>
      <sheetName val="#Dados Exportação"/>
      <sheetName val="#Resultado Quadro Adiantamentos"/>
      <sheetName val="Resultado Quadros Frete"/>
      <sheetName val="#Resultado Controle de Margem"/>
      <sheetName val="#Cadastros Contratos"/>
      <sheetName val="Parâmetros Listas"/>
      <sheetName val="Resultado Quadros"/>
      <sheetName val="Resultado Quadros (Atividades)"/>
      <sheetName val="Resultado Gráficos"/>
      <sheetName val="#Resultado Dash-Faturamento"/>
      <sheetName val="#Resultado Dash-Vendas"/>
      <sheetName val="#Resultado Dash-Carteira"/>
      <sheetName val="#Resultado Quadros (Bancos)"/>
      <sheetName val="#Resultados Quadros Carteira"/>
      <sheetName val="#Resultados Pedidos Pendentes"/>
      <sheetName val="Resultado Quadro DFC"/>
      <sheetName val="#Resultado Cargas Aberta"/>
      <sheetName val="#Resultados Orçamentos"/>
      <sheetName val="#Resultado Quadro Estoque"/>
      <sheetName val="#Parâmetros Precificação"/>
      <sheetName val="#Parâmetros Balanço Patrimonial"/>
      <sheetName val="Ger_Lista de Atividade"/>
      <sheetName val="Usuários"/>
      <sheetName val="VERSÃO SISTEMA"/>
      <sheetName val="Menu Inicial"/>
      <sheetName val="Painel Gerenciamento"/>
      <sheetName val="Controle de Margem"/>
      <sheetName val="Contratos Redes"/>
      <sheetName val="Tabela de Frete"/>
      <sheetName val="Tab_Frete (Precificação)"/>
      <sheetName val="Precificação"/>
      <sheetName val="Precificação CSM"/>
      <sheetName val="Dashboard Vendas"/>
      <sheetName val="Venda por Produto"/>
      <sheetName val="Estoque"/>
      <sheetName val="Produção"/>
      <sheetName val="Cargas em Aberto"/>
      <sheetName val="Pedidos Pendentes"/>
      <sheetName val="Agenda Pedidos Pendentes"/>
      <sheetName val="KPI"/>
      <sheetName val="Carteira"/>
      <sheetName val="Balanço Patrimonial"/>
      <sheetName val="BP - Lançamentos"/>
      <sheetName val="ATIVO"/>
      <sheetName val="Adiantamentos"/>
      <sheetName val="Faturamento"/>
      <sheetName val="Dashboard Faturamento"/>
      <sheetName val="Saldos e Limites Bancários"/>
      <sheetName val="#Listas Bancos"/>
      <sheetName val="Comitê Diário"/>
      <sheetName val="Tab_DRE"/>
      <sheetName val="D R E"/>
      <sheetName val="D R E POR CENTRO DE RESULTADO"/>
      <sheetName val="D R E Manual"/>
      <sheetName val="D R E por SETOR"/>
      <sheetName val="Parâmetros do Negócio"/>
      <sheetName val="Parâmetros Vendas"/>
      <sheetName val="Parâmetros Produtos"/>
      <sheetName val="Parâmetros Logística"/>
      <sheetName val="Parâmetros Administração"/>
      <sheetName val="Parâmetros Financeiros"/>
      <sheetName val="Resultado Parâmetros do Negócio"/>
      <sheetName val="Tab_Orçamento"/>
      <sheetName val="Tab_Orçamentos Realizados"/>
      <sheetName val="Orçamento x Real"/>
      <sheetName val="Lista de Atividades"/>
      <sheetName val="Relatório Contas a Receber"/>
      <sheetName val="Contas a Receber - Todos"/>
      <sheetName val="Resumo A Receber.V3"/>
      <sheetName val="Relatório DFC"/>
      <sheetName val="DFC"/>
      <sheetName val="Descritivo de Função"/>
      <sheetName val="Cargos e Salários"/>
      <sheetName val="Remuneração Sócios 1"/>
      <sheetName val="Remuneração Sóc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00FD-CEE3-4B6C-9977-C1419636AF3E}">
  <dimension ref="A1:O75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7.42578125" bestFit="1" customWidth="1"/>
    <col min="2" max="2" width="7" bestFit="1" customWidth="1"/>
    <col min="3" max="3" width="42.85546875" bestFit="1" customWidth="1"/>
    <col min="4" max="4" width="3.5703125" bestFit="1" customWidth="1"/>
    <col min="5" max="5" width="14.42578125" bestFit="1" customWidth="1"/>
    <col min="6" max="6" width="4.85546875" bestFit="1" customWidth="1"/>
    <col min="7" max="7" width="5.85546875" bestFit="1" customWidth="1"/>
    <col min="8" max="8" width="18.85546875" customWidth="1"/>
    <col min="9" max="9" width="6.140625" bestFit="1" customWidth="1"/>
    <col min="10" max="11" width="6.28515625" bestFit="1" customWidth="1"/>
    <col min="12" max="12" width="8.42578125" bestFit="1" customWidth="1"/>
    <col min="13" max="13" width="8.85546875" bestFit="1" customWidth="1"/>
    <col min="14" max="14" width="11.7109375" bestFit="1" customWidth="1"/>
    <col min="15" max="15" width="16.140625" bestFit="1" customWidth="1"/>
  </cols>
  <sheetData>
    <row r="1" spans="1:15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spans="1:15" x14ac:dyDescent="0.25">
      <c r="A2" s="4">
        <v>24</v>
      </c>
      <c r="B2" s="4" t="s">
        <v>15</v>
      </c>
      <c r="C2" s="4" t="s">
        <v>16</v>
      </c>
      <c r="D2" s="4">
        <v>30</v>
      </c>
      <c r="E2" s="5">
        <v>1.4</v>
      </c>
      <c r="F2" s="4">
        <v>42</v>
      </c>
      <c r="G2" s="4">
        <v>1</v>
      </c>
      <c r="H2" s="4">
        <v>30</v>
      </c>
      <c r="I2" s="4">
        <v>1</v>
      </c>
      <c r="J2" s="4">
        <v>8</v>
      </c>
      <c r="K2" s="4">
        <v>1</v>
      </c>
      <c r="L2" s="4" t="e">
        <f>[1]!Tab_prProdução[[#This Row],[Horas]]-[1]!Tab_prProdução[[#This Row],[Setup]]</f>
        <v>#VALUE!</v>
      </c>
      <c r="M2" s="4">
        <v>2</v>
      </c>
      <c r="N2" s="4">
        <f>IFERROR(([1]!Tab_prProdução[[#This Row],[PPM]]/[1]!Tab_prProdução[[#This Row],[Pacote por Fardo]])*60*[1]!Tab_prProdução[[#This Row],[Horas Úteis]]*[1]!Tab_prProdução[[#This Row],[Empacotadeiras]],0)</f>
        <v>0</v>
      </c>
      <c r="O2" s="6">
        <v>60000</v>
      </c>
    </row>
    <row r="3" spans="1:15" x14ac:dyDescent="0.25">
      <c r="A3" s="7">
        <v>25</v>
      </c>
      <c r="B3" s="7" t="s">
        <v>15</v>
      </c>
      <c r="C3" s="7" t="s">
        <v>17</v>
      </c>
      <c r="D3" s="7">
        <v>30</v>
      </c>
      <c r="E3" s="8">
        <v>1.4</v>
      </c>
      <c r="F3" s="7">
        <v>42</v>
      </c>
      <c r="G3" s="7">
        <v>2</v>
      </c>
      <c r="H3" s="7">
        <v>15</v>
      </c>
      <c r="I3" s="7">
        <v>1</v>
      </c>
      <c r="J3" s="7">
        <v>8</v>
      </c>
      <c r="K3" s="7">
        <v>1</v>
      </c>
      <c r="L3" s="7" t="e">
        <f>[1]!Tab_prProdução[[#This Row],[Horas]]-[1]!Tab_prProdução[[#This Row],[Setup]]</f>
        <v>#VALUE!</v>
      </c>
      <c r="M3" s="7">
        <v>1</v>
      </c>
      <c r="N3" s="7">
        <f>IFERROR(([1]!Tab_prProdução[[#This Row],[PPM]]/[1]!Tab_prProdução[[#This Row],[Pacote por Fardo]])*60*[1]!Tab_prProdução[[#This Row],[Horas Úteis]]*[1]!Tab_prProdução[[#This Row],[Empacotadeiras]],0)</f>
        <v>0</v>
      </c>
      <c r="O3" s="9">
        <v>15000</v>
      </c>
    </row>
    <row r="4" spans="1:15" x14ac:dyDescent="0.25">
      <c r="A4" s="4">
        <v>26</v>
      </c>
      <c r="B4" s="4" t="s">
        <v>15</v>
      </c>
      <c r="C4" s="4" t="s">
        <v>18</v>
      </c>
      <c r="D4" s="4">
        <v>30</v>
      </c>
      <c r="E4" s="5">
        <v>1.4</v>
      </c>
      <c r="F4" s="4">
        <v>25</v>
      </c>
      <c r="G4" s="4">
        <v>5</v>
      </c>
      <c r="H4" s="4">
        <v>6</v>
      </c>
      <c r="I4" s="4">
        <v>1</v>
      </c>
      <c r="J4" s="4">
        <v>8</v>
      </c>
      <c r="K4" s="4">
        <v>1</v>
      </c>
      <c r="L4" s="4" t="e">
        <f>[1]!Tab_prProdução[[#This Row],[Horas]]-[1]!Tab_prProdução[[#This Row],[Setup]]</f>
        <v>#VALUE!</v>
      </c>
      <c r="M4" s="4">
        <v>2</v>
      </c>
      <c r="N4" s="4">
        <f>IFERROR(([1]!Tab_prProdução[[#This Row],[PPM]]/[1]!Tab_prProdução[[#This Row],[Pacote por Fardo]])*60*[1]!Tab_prProdução[[#This Row],[Horas Úteis]]*[1]!Tab_prProdução[[#This Row],[Empacotadeiras]],0)</f>
        <v>0</v>
      </c>
      <c r="O4" s="6">
        <v>6000</v>
      </c>
    </row>
    <row r="5" spans="1:15" x14ac:dyDescent="0.25">
      <c r="A5" s="7">
        <v>30</v>
      </c>
      <c r="B5" s="7" t="s">
        <v>15</v>
      </c>
      <c r="C5" s="7" t="s">
        <v>19</v>
      </c>
      <c r="D5" s="7">
        <v>50</v>
      </c>
      <c r="E5" s="8">
        <v>2</v>
      </c>
      <c r="F5" s="7"/>
      <c r="G5" s="7"/>
      <c r="H5" s="7">
        <v>1</v>
      </c>
      <c r="I5" s="7"/>
      <c r="J5" s="7"/>
      <c r="K5" s="7"/>
      <c r="L5" s="7">
        <f>[1]!Tab_prProdução[[#This Row],[Horas]]-[1]!Tab_prProdução[[#This Row],[Setup]]</f>
        <v>7</v>
      </c>
      <c r="M5" s="7"/>
      <c r="N5" s="7">
        <f>IFERROR(([1]!Tab_prProdução[[#This Row],[PPM]]/[1]!Tab_prProdução[[#This Row],[Pacote por Fardo]])*60*[1]!Tab_prProdução[[#This Row],[Horas Úteis]]*[1]!Tab_prProdução[[#This Row],[Empacotadeiras]],0)</f>
        <v>1176</v>
      </c>
      <c r="O5" s="9">
        <v>0</v>
      </c>
    </row>
    <row r="6" spans="1:15" x14ac:dyDescent="0.25">
      <c r="A6" s="4">
        <v>31</v>
      </c>
      <c r="B6" s="4" t="s">
        <v>15</v>
      </c>
      <c r="C6" s="4" t="s">
        <v>20</v>
      </c>
      <c r="D6" s="4">
        <v>25</v>
      </c>
      <c r="E6" s="5">
        <v>1.4</v>
      </c>
      <c r="F6" s="4"/>
      <c r="G6" s="4"/>
      <c r="H6" s="4">
        <v>1</v>
      </c>
      <c r="I6" s="4"/>
      <c r="J6" s="4"/>
      <c r="K6" s="4"/>
      <c r="L6" s="4">
        <f>[1]!Tab_prProdução[[#This Row],[Horas]]-[1]!Tab_prProdução[[#This Row],[Setup]]</f>
        <v>7</v>
      </c>
      <c r="M6" s="4"/>
      <c r="N6" s="4">
        <f>IFERROR(([1]!Tab_prProdução[[#This Row],[PPM]]/[1]!Tab_prProdução[[#This Row],[Pacote por Fardo]])*60*[1]!Tab_prProdução[[#This Row],[Horas Úteis]]*[1]!Tab_prProdução[[#This Row],[Empacotadeiras]],0)</f>
        <v>1176</v>
      </c>
      <c r="O6" s="6">
        <v>0</v>
      </c>
    </row>
    <row r="7" spans="1:15" x14ac:dyDescent="0.25">
      <c r="A7" s="7">
        <v>378</v>
      </c>
      <c r="B7" s="7" t="s">
        <v>15</v>
      </c>
      <c r="C7" s="7" t="s">
        <v>21</v>
      </c>
      <c r="D7" s="7"/>
      <c r="E7" s="8"/>
      <c r="F7" s="7"/>
      <c r="G7" s="7"/>
      <c r="H7" s="7">
        <v>1</v>
      </c>
      <c r="I7" s="7"/>
      <c r="J7" s="7"/>
      <c r="K7" s="7"/>
      <c r="L7" s="7">
        <f>[1]!Tab_prProdução[[#This Row],[Horas]]-[1]!Tab_prProdução[[#This Row],[Setup]]</f>
        <v>7</v>
      </c>
      <c r="M7" s="7"/>
      <c r="N7" s="7">
        <f>IFERROR(([1]!Tab_prProdução[[#This Row],[PPM]]/[1]!Tab_prProdução[[#This Row],[Pacote por Fardo]])*60*[1]!Tab_prProdução[[#This Row],[Horas Úteis]]*[1]!Tab_prProdução[[#This Row],[Empacotadeiras]],0)</f>
        <v>3500.0000000000005</v>
      </c>
      <c r="O7" s="9">
        <v>0</v>
      </c>
    </row>
    <row r="8" spans="1:15" x14ac:dyDescent="0.25">
      <c r="A8" s="4">
        <v>3646</v>
      </c>
      <c r="B8" s="4" t="s">
        <v>15</v>
      </c>
      <c r="C8" s="4" t="s">
        <v>22</v>
      </c>
      <c r="D8" s="4">
        <v>30</v>
      </c>
      <c r="E8" s="5"/>
      <c r="F8" s="4"/>
      <c r="G8" s="4">
        <v>5</v>
      </c>
      <c r="H8" s="4">
        <v>6</v>
      </c>
      <c r="I8" s="4"/>
      <c r="J8" s="4"/>
      <c r="K8" s="4"/>
      <c r="L8" s="4">
        <f>[1]!Tab_prProdução[[#This Row],[Horas]]-[1]!Tab_prProdução[[#This Row],[Setup]]</f>
        <v>0</v>
      </c>
      <c r="M8" s="4"/>
      <c r="N8" s="4">
        <f>IFERROR(([1]!Tab_prProdução[[#This Row],[PPM]]/[1]!Tab_prProdução[[#This Row],[Pacote por Fardo]])*60*[1]!Tab_prProdução[[#This Row],[Horas Úteis]]*[1]!Tab_prProdução[[#This Row],[Empacotadeiras]],0)</f>
        <v>0</v>
      </c>
      <c r="O8" s="6">
        <v>0</v>
      </c>
    </row>
    <row r="9" spans="1:15" x14ac:dyDescent="0.25">
      <c r="A9" s="7">
        <v>423</v>
      </c>
      <c r="B9" s="7" t="s">
        <v>15</v>
      </c>
      <c r="C9" s="7" t="s">
        <v>23</v>
      </c>
      <c r="D9" s="7"/>
      <c r="E9" s="8"/>
      <c r="F9" s="7"/>
      <c r="G9" s="7"/>
      <c r="H9" s="7">
        <v>1</v>
      </c>
      <c r="I9" s="7"/>
      <c r="J9" s="7"/>
      <c r="K9" s="7"/>
      <c r="L9" s="7">
        <f>[1]!Tab_prProdução[[#This Row],[Horas]]-[1]!Tab_prProdução[[#This Row],[Setup]]</f>
        <v>0</v>
      </c>
      <c r="M9" s="7"/>
      <c r="N9" s="7">
        <f>IFERROR(([1]!Tab_prProdução[[#This Row],[PPM]]/[1]!Tab_prProdução[[#This Row],[Pacote por Fardo]])*60*[1]!Tab_prProdução[[#This Row],[Horas Úteis]]*[1]!Tab_prProdução[[#This Row],[Empacotadeiras]],0)</f>
        <v>0</v>
      </c>
      <c r="O9" s="9">
        <v>0</v>
      </c>
    </row>
    <row r="10" spans="1:15" x14ac:dyDescent="0.25">
      <c r="A10" s="4">
        <v>3058</v>
      </c>
      <c r="B10" s="4" t="s">
        <v>15</v>
      </c>
      <c r="C10" s="4" t="s">
        <v>24</v>
      </c>
      <c r="D10" s="4"/>
      <c r="E10" s="5"/>
      <c r="F10" s="4"/>
      <c r="G10" s="4"/>
      <c r="H10" s="4">
        <v>30</v>
      </c>
      <c r="I10" s="4"/>
      <c r="J10" s="4"/>
      <c r="K10" s="4"/>
      <c r="L10" s="4">
        <f>[1]!Tab_prProdução[[#This Row],[Horas]]-[1]!Tab_prProdução[[#This Row],[Setup]]</f>
        <v>0</v>
      </c>
      <c r="M10" s="4"/>
      <c r="N10" s="4">
        <f>IFERROR(([1]!Tab_prProdução[[#This Row],[PPM]]/[1]!Tab_prProdução[[#This Row],[Pacote por Fardo]])*60*[1]!Tab_prProdução[[#This Row],[Horas Úteis]]*[1]!Tab_prProdução[[#This Row],[Empacotadeiras]],0)</f>
        <v>0</v>
      </c>
      <c r="O10" s="6">
        <v>0</v>
      </c>
    </row>
    <row r="11" spans="1:15" x14ac:dyDescent="0.25">
      <c r="A11" s="7">
        <v>304</v>
      </c>
      <c r="B11" s="7" t="s">
        <v>15</v>
      </c>
      <c r="C11" s="7" t="s">
        <v>25</v>
      </c>
      <c r="D11" s="7"/>
      <c r="E11" s="8"/>
      <c r="F11" s="7"/>
      <c r="G11" s="7"/>
      <c r="H11" s="7">
        <v>1</v>
      </c>
      <c r="I11" s="7"/>
      <c r="J11" s="7"/>
      <c r="K11" s="7"/>
      <c r="L11" s="7">
        <f>[1]!Tab_prProdução[[#This Row],[Horas]]-[1]!Tab_prProdução[[#This Row],[Setup]]</f>
        <v>0</v>
      </c>
      <c r="M11" s="7"/>
      <c r="N11" s="7">
        <f>IFERROR(([1]!Tab_prProdução[[#This Row],[PPM]]/[1]!Tab_prProdução[[#This Row],[Pacote por Fardo]])*60*[1]!Tab_prProdução[[#This Row],[Horas Úteis]]*[1]!Tab_prProdução[[#This Row],[Empacotadeiras]],0)</f>
        <v>0</v>
      </c>
      <c r="O11" s="9">
        <v>0</v>
      </c>
    </row>
    <row r="12" spans="1:15" x14ac:dyDescent="0.25">
      <c r="A12" s="4">
        <v>2989</v>
      </c>
      <c r="B12" s="4" t="s">
        <v>15</v>
      </c>
      <c r="C12" s="4" t="s">
        <v>26</v>
      </c>
      <c r="D12" s="4"/>
      <c r="E12" s="5"/>
      <c r="F12" s="4"/>
      <c r="G12" s="4"/>
      <c r="H12" s="4">
        <v>1</v>
      </c>
      <c r="I12" s="4"/>
      <c r="J12" s="4"/>
      <c r="K12" s="4"/>
      <c r="L12" s="4">
        <f>[1]!Tab_prProdução[[#This Row],[Horas]]-[1]!Tab_prProdução[[#This Row],[Setup]]</f>
        <v>0</v>
      </c>
      <c r="M12" s="4"/>
      <c r="N12" s="4">
        <f>IFERROR(([1]!Tab_prProdução[[#This Row],[PPM]]/[1]!Tab_prProdução[[#This Row],[Pacote por Fardo]])*60*[1]!Tab_prProdução[[#This Row],[Horas Úteis]]*[1]!Tab_prProdução[[#This Row],[Empacotadeiras]],0)</f>
        <v>0</v>
      </c>
      <c r="O12" s="6">
        <v>0</v>
      </c>
    </row>
    <row r="13" spans="1:15" x14ac:dyDescent="0.25">
      <c r="A13" s="7">
        <v>2694</v>
      </c>
      <c r="B13" s="7" t="s">
        <v>15</v>
      </c>
      <c r="C13" s="7" t="s">
        <v>27</v>
      </c>
      <c r="D13" s="7"/>
      <c r="E13" s="8"/>
      <c r="F13" s="7"/>
      <c r="G13" s="7"/>
      <c r="H13" s="7">
        <v>1</v>
      </c>
      <c r="I13" s="7"/>
      <c r="J13" s="7"/>
      <c r="K13" s="7"/>
      <c r="L13" s="7">
        <f>[1]!Tab_prProdução[[#This Row],[Horas]]-[1]!Tab_prProdução[[#This Row],[Setup]]</f>
        <v>0</v>
      </c>
      <c r="M13" s="7"/>
      <c r="N13" s="7">
        <f>IFERROR(([1]!Tab_prProdução[[#This Row],[PPM]]/[1]!Tab_prProdução[[#This Row],[Pacote por Fardo]])*60*[1]!Tab_prProdução[[#This Row],[Horas Úteis]]*[1]!Tab_prProdução[[#This Row],[Empacotadeiras]],0)</f>
        <v>0</v>
      </c>
      <c r="O13" s="9">
        <v>0</v>
      </c>
    </row>
    <row r="14" spans="1:15" x14ac:dyDescent="0.25">
      <c r="A14" s="4">
        <v>1597</v>
      </c>
      <c r="B14" s="4" t="s">
        <v>15</v>
      </c>
      <c r="C14" s="4" t="s">
        <v>28</v>
      </c>
      <c r="D14" s="4"/>
      <c r="E14" s="5"/>
      <c r="F14" s="4"/>
      <c r="G14" s="4"/>
      <c r="H14" s="4">
        <v>1</v>
      </c>
      <c r="I14" s="4"/>
      <c r="J14" s="4"/>
      <c r="K14" s="4"/>
      <c r="L14" s="4">
        <f>[1]!Tab_prProdução[[#This Row],[Horas]]-[1]!Tab_prProdução[[#This Row],[Setup]]</f>
        <v>0</v>
      </c>
      <c r="M14" s="4"/>
      <c r="N14" s="4">
        <f>IFERROR(([1]!Tab_prProdução[[#This Row],[PPM]]/[1]!Tab_prProdução[[#This Row],[Pacote por Fardo]])*60*[1]!Tab_prProdução[[#This Row],[Horas Úteis]]*[1]!Tab_prProdução[[#This Row],[Empacotadeiras]],0)</f>
        <v>0</v>
      </c>
      <c r="O14" s="6">
        <v>0</v>
      </c>
    </row>
    <row r="15" spans="1:15" x14ac:dyDescent="0.25">
      <c r="A15" s="7">
        <v>314</v>
      </c>
      <c r="B15" s="7" t="s">
        <v>15</v>
      </c>
      <c r="C15" s="7" t="s">
        <v>29</v>
      </c>
      <c r="D15" s="7"/>
      <c r="E15" s="8"/>
      <c r="F15" s="7"/>
      <c r="G15" s="7"/>
      <c r="H15" s="7">
        <v>1</v>
      </c>
      <c r="I15" s="7"/>
      <c r="J15" s="7"/>
      <c r="K15" s="7"/>
      <c r="L15" s="7">
        <f>[1]!Tab_prProdução[[#This Row],[Horas]]-[1]!Tab_prProdução[[#This Row],[Setup]]</f>
        <v>0</v>
      </c>
      <c r="M15" s="7"/>
      <c r="N15" s="7">
        <f>IFERROR(([1]!Tab_prProdução[[#This Row],[PPM]]/[1]!Tab_prProdução[[#This Row],[Pacote por Fardo]])*60*[1]!Tab_prProdução[[#This Row],[Horas Úteis]]*[1]!Tab_prProdução[[#This Row],[Empacotadeiras]],0)</f>
        <v>0</v>
      </c>
      <c r="O15" s="9">
        <v>0</v>
      </c>
    </row>
    <row r="16" spans="1:15" x14ac:dyDescent="0.25">
      <c r="A16" s="4">
        <v>1779</v>
      </c>
      <c r="B16" s="4" t="s">
        <v>15</v>
      </c>
      <c r="C16" s="4" t="s">
        <v>30</v>
      </c>
      <c r="D16" s="4"/>
      <c r="E16" s="5"/>
      <c r="F16" s="4"/>
      <c r="G16" s="4"/>
      <c r="H16" s="4">
        <v>1</v>
      </c>
      <c r="I16" s="4"/>
      <c r="J16" s="4"/>
      <c r="K16" s="4"/>
      <c r="L16" s="4">
        <f>[1]!Tab_prProdução[[#This Row],[Horas]]-[1]!Tab_prProdução[[#This Row],[Setup]]</f>
        <v>0</v>
      </c>
      <c r="M16" s="4"/>
      <c r="N16" s="4">
        <f>IFERROR(([1]!Tab_prProdução[[#This Row],[PPM]]/[1]!Tab_prProdução[[#This Row],[Pacote por Fardo]])*60*[1]!Tab_prProdução[[#This Row],[Horas Úteis]]*[1]!Tab_prProdução[[#This Row],[Empacotadeiras]],0)</f>
        <v>0</v>
      </c>
      <c r="O16" s="6">
        <v>0</v>
      </c>
    </row>
    <row r="17" spans="1:15" x14ac:dyDescent="0.25">
      <c r="A17" s="7">
        <v>3765</v>
      </c>
      <c r="B17" s="7" t="s">
        <v>15</v>
      </c>
      <c r="C17" s="7" t="s">
        <v>31</v>
      </c>
      <c r="D17" s="7">
        <v>30</v>
      </c>
      <c r="E17" s="8">
        <v>1.4</v>
      </c>
      <c r="F17" s="7">
        <v>42</v>
      </c>
      <c r="G17" s="7">
        <v>1</v>
      </c>
      <c r="H17" s="7">
        <v>30</v>
      </c>
      <c r="I17" s="7">
        <v>1</v>
      </c>
      <c r="J17" s="7">
        <v>8</v>
      </c>
      <c r="K17" s="7">
        <v>1</v>
      </c>
      <c r="L17" s="7">
        <f>[1]!Tab_prProdução[[#This Row],[Horas]]-[1]!Tab_prProdução[[#This Row],[Setup]]</f>
        <v>0</v>
      </c>
      <c r="M17" s="7">
        <v>2</v>
      </c>
      <c r="N17" s="7">
        <f>IFERROR(([1]!Tab_prProdução[[#This Row],[PPM]]/[1]!Tab_prProdução[[#This Row],[Pacote por Fardo]])*60*[1]!Tab_prProdução[[#This Row],[Horas Úteis]]*[1]!Tab_prProdução[[#This Row],[Empacotadeiras]],0)</f>
        <v>0</v>
      </c>
      <c r="O17" s="9">
        <v>0</v>
      </c>
    </row>
    <row r="18" spans="1:15" x14ac:dyDescent="0.25">
      <c r="A18" s="4">
        <v>113</v>
      </c>
      <c r="B18" s="4" t="s">
        <v>15</v>
      </c>
      <c r="C18" s="4" t="s">
        <v>32</v>
      </c>
      <c r="D18" s="4"/>
      <c r="E18" s="5"/>
      <c r="F18" s="4"/>
      <c r="G18" s="4"/>
      <c r="H18" s="4">
        <v>20</v>
      </c>
      <c r="I18" s="4"/>
      <c r="J18" s="4"/>
      <c r="K18" s="4"/>
      <c r="L18" s="4">
        <f>[1]!Tab_prProdução[[#This Row],[Horas]]-[1]!Tab_prProdução[[#This Row],[Setup]]</f>
        <v>0</v>
      </c>
      <c r="M18" s="4"/>
      <c r="N18" s="4">
        <f>IFERROR(([1]!Tab_prProdução[[#This Row],[PPM]]/[1]!Tab_prProdução[[#This Row],[Pacote por Fardo]])*60*[1]!Tab_prProdução[[#This Row],[Horas Úteis]]*[1]!Tab_prProdução[[#This Row],[Empacotadeiras]],0)</f>
        <v>0</v>
      </c>
      <c r="O18" s="6">
        <v>0</v>
      </c>
    </row>
    <row r="19" spans="1:15" x14ac:dyDescent="0.25">
      <c r="A19" s="7">
        <v>35</v>
      </c>
      <c r="B19" s="7" t="s">
        <v>15</v>
      </c>
      <c r="C19" s="7" t="s">
        <v>33</v>
      </c>
      <c r="D19" s="7"/>
      <c r="E19" s="8"/>
      <c r="F19" s="7"/>
      <c r="G19" s="7"/>
      <c r="H19" s="7">
        <v>6</v>
      </c>
      <c r="I19" s="7"/>
      <c r="J19" s="7"/>
      <c r="K19" s="7"/>
      <c r="L19" s="7">
        <f>[1]!Tab_prProdução[[#This Row],[Horas]]-[1]!Tab_prProdução[[#This Row],[Setup]]</f>
        <v>0</v>
      </c>
      <c r="M19" s="7"/>
      <c r="N19" s="7">
        <f>IFERROR(([1]!Tab_prProdução[[#This Row],[PPM]]/[1]!Tab_prProdução[[#This Row],[Pacote por Fardo]])*60*[1]!Tab_prProdução[[#This Row],[Horas Úteis]]*[1]!Tab_prProdução[[#This Row],[Empacotadeiras]],0)</f>
        <v>0</v>
      </c>
      <c r="O19" s="9">
        <v>0</v>
      </c>
    </row>
    <row r="20" spans="1:15" x14ac:dyDescent="0.25">
      <c r="A20" s="4">
        <v>300</v>
      </c>
      <c r="B20" s="4" t="s">
        <v>15</v>
      </c>
      <c r="C20" s="4" t="s">
        <v>34</v>
      </c>
      <c r="D20" s="4"/>
      <c r="E20" s="5"/>
      <c r="F20" s="4"/>
      <c r="G20" s="4"/>
      <c r="H20" s="4">
        <v>1</v>
      </c>
      <c r="I20" s="4"/>
      <c r="J20" s="4"/>
      <c r="K20" s="4"/>
      <c r="L20" s="4">
        <f>[1]!Tab_prProdução[[#This Row],[Horas]]-[1]!Tab_prProdução[[#This Row],[Setup]]</f>
        <v>7</v>
      </c>
      <c r="M20" s="4"/>
      <c r="N20" s="4">
        <f>IFERROR(([1]!Tab_prProdução[[#This Row],[PPM]]/[1]!Tab_prProdução[[#This Row],[Pacote por Fardo]])*60*[1]!Tab_prProdução[[#This Row],[Horas Úteis]]*[1]!Tab_prProdução[[#This Row],[Empacotadeiras]],0)</f>
        <v>1176</v>
      </c>
      <c r="O20" s="6">
        <v>0</v>
      </c>
    </row>
    <row r="21" spans="1:15" x14ac:dyDescent="0.25">
      <c r="A21" s="7">
        <v>377</v>
      </c>
      <c r="B21" s="7" t="s">
        <v>15</v>
      </c>
      <c r="C21" s="7" t="s">
        <v>35</v>
      </c>
      <c r="D21" s="7"/>
      <c r="E21" s="8"/>
      <c r="F21" s="7"/>
      <c r="G21" s="7"/>
      <c r="H21" s="7">
        <v>1</v>
      </c>
      <c r="I21" s="7"/>
      <c r="J21" s="7"/>
      <c r="K21" s="7"/>
      <c r="L21" s="7">
        <f>[1]!Tab_prProdução[[#This Row],[Horas]]-[1]!Tab_prProdução[[#This Row],[Setup]]</f>
        <v>0</v>
      </c>
      <c r="M21" s="7"/>
      <c r="N21" s="7">
        <f>IFERROR(([1]!Tab_prProdução[[#This Row],[PPM]]/[1]!Tab_prProdução[[#This Row],[Pacote por Fardo]])*60*[1]!Tab_prProdução[[#This Row],[Horas Úteis]]*[1]!Tab_prProdução[[#This Row],[Empacotadeiras]],0)</f>
        <v>0</v>
      </c>
      <c r="O21" s="9">
        <v>0</v>
      </c>
    </row>
    <row r="22" spans="1:15" x14ac:dyDescent="0.25">
      <c r="A22" s="4">
        <v>380</v>
      </c>
      <c r="B22" s="4" t="s">
        <v>15</v>
      </c>
      <c r="C22" s="4" t="s">
        <v>36</v>
      </c>
      <c r="D22" s="4"/>
      <c r="E22" s="5"/>
      <c r="F22" s="4"/>
      <c r="G22" s="4"/>
      <c r="H22" s="4">
        <v>1</v>
      </c>
      <c r="I22" s="4"/>
      <c r="J22" s="4"/>
      <c r="K22" s="4"/>
      <c r="L22" s="4">
        <f>[1]!Tab_prProdução[[#This Row],[Horas]]-[1]!Tab_prProdução[[#This Row],[Setup]]</f>
        <v>0</v>
      </c>
      <c r="M22" s="4"/>
      <c r="N22" s="4">
        <f>IFERROR(([1]!Tab_prProdução[[#This Row],[PPM]]/[1]!Tab_prProdução[[#This Row],[Pacote por Fardo]])*60*[1]!Tab_prProdução[[#This Row],[Horas Úteis]]*[1]!Tab_prProdução[[#This Row],[Empacotadeiras]],0)</f>
        <v>0</v>
      </c>
      <c r="O22" s="6">
        <v>0</v>
      </c>
    </row>
    <row r="23" spans="1:15" x14ac:dyDescent="0.25">
      <c r="A23" s="7">
        <v>381</v>
      </c>
      <c r="B23" s="7" t="s">
        <v>15</v>
      </c>
      <c r="C23" s="7" t="s">
        <v>37</v>
      </c>
      <c r="D23" s="7"/>
      <c r="E23" s="8"/>
      <c r="F23" s="7"/>
      <c r="G23" s="7"/>
      <c r="H23" s="7">
        <v>1</v>
      </c>
      <c r="I23" s="7"/>
      <c r="J23" s="7"/>
      <c r="K23" s="7"/>
      <c r="L23" s="7">
        <f>[1]!Tab_prProdução[[#This Row],[Horas]]-[1]!Tab_prProdução[[#This Row],[Setup]]</f>
        <v>0</v>
      </c>
      <c r="M23" s="7"/>
      <c r="N23" s="7">
        <f>IFERROR(([1]!Tab_prProdução[[#This Row],[PPM]]/[1]!Tab_prProdução[[#This Row],[Pacote por Fardo]])*60*[1]!Tab_prProdução[[#This Row],[Horas Úteis]]*[1]!Tab_prProdução[[#This Row],[Empacotadeiras]],0)</f>
        <v>0</v>
      </c>
      <c r="O23" s="9">
        <v>0</v>
      </c>
    </row>
    <row r="24" spans="1:15" x14ac:dyDescent="0.25">
      <c r="A24" s="4">
        <v>621</v>
      </c>
      <c r="B24" s="4" t="s">
        <v>15</v>
      </c>
      <c r="C24" s="4" t="s">
        <v>38</v>
      </c>
      <c r="D24" s="4"/>
      <c r="E24" s="5"/>
      <c r="F24" s="4"/>
      <c r="G24" s="4"/>
      <c r="H24" s="4">
        <v>1</v>
      </c>
      <c r="I24" s="4"/>
      <c r="J24" s="4"/>
      <c r="K24" s="4"/>
      <c r="L24" s="4">
        <f>[1]!Tab_prProdução[[#This Row],[Horas]]-[1]!Tab_prProdução[[#This Row],[Setup]]</f>
        <v>0</v>
      </c>
      <c r="M24" s="4"/>
      <c r="N24" s="4">
        <f>IFERROR(([1]!Tab_prProdução[[#This Row],[PPM]]/[1]!Tab_prProdução[[#This Row],[Pacote por Fardo]])*60*[1]!Tab_prProdução[[#This Row],[Horas Úteis]]*[1]!Tab_prProdução[[#This Row],[Empacotadeiras]],0)</f>
        <v>0</v>
      </c>
      <c r="O24" s="6">
        <v>0</v>
      </c>
    </row>
    <row r="25" spans="1:15" x14ac:dyDescent="0.25">
      <c r="A25" s="7">
        <v>622</v>
      </c>
      <c r="B25" s="7" t="s">
        <v>15</v>
      </c>
      <c r="C25" s="7" t="s">
        <v>39</v>
      </c>
      <c r="D25" s="7"/>
      <c r="E25" s="8"/>
      <c r="F25" s="7"/>
      <c r="G25" s="7"/>
      <c r="H25" s="7">
        <v>1</v>
      </c>
      <c r="I25" s="7"/>
      <c r="J25" s="7"/>
      <c r="K25" s="7"/>
      <c r="L25" s="7">
        <f>[1]!Tab_prProdução[[#This Row],[Horas]]-[1]!Tab_prProdução[[#This Row],[Setup]]</f>
        <v>0</v>
      </c>
      <c r="M25" s="7"/>
      <c r="N25" s="7">
        <f>IFERROR(([1]!Tab_prProdução[[#This Row],[PPM]]/[1]!Tab_prProdução[[#This Row],[Pacote por Fardo]])*60*[1]!Tab_prProdução[[#This Row],[Horas Úteis]]*[1]!Tab_prProdução[[#This Row],[Empacotadeiras]],0)</f>
        <v>0</v>
      </c>
      <c r="O25" s="9">
        <v>0</v>
      </c>
    </row>
    <row r="26" spans="1:15" x14ac:dyDescent="0.25">
      <c r="A26" s="4">
        <v>2303</v>
      </c>
      <c r="B26" s="4" t="s">
        <v>15</v>
      </c>
      <c r="C26" s="4" t="s">
        <v>40</v>
      </c>
      <c r="D26" s="4"/>
      <c r="E26" s="5"/>
      <c r="F26" s="4"/>
      <c r="G26" s="4"/>
      <c r="H26" s="4">
        <v>1</v>
      </c>
      <c r="I26" s="4"/>
      <c r="J26" s="4"/>
      <c r="K26" s="4"/>
      <c r="L26" s="4">
        <f>[1]!Tab_prProdução[[#This Row],[Horas]]-[1]!Tab_prProdução[[#This Row],[Setup]]</f>
        <v>0</v>
      </c>
      <c r="M26" s="4"/>
      <c r="N26" s="4">
        <f>IFERROR(([1]!Tab_prProdução[[#This Row],[PPM]]/[1]!Tab_prProdução[[#This Row],[Pacote por Fardo]])*60*[1]!Tab_prProdução[[#This Row],[Horas Úteis]]*[1]!Tab_prProdução[[#This Row],[Empacotadeiras]],0)</f>
        <v>0</v>
      </c>
      <c r="O26" s="6">
        <v>0</v>
      </c>
    </row>
    <row r="27" spans="1:15" x14ac:dyDescent="0.25">
      <c r="A27" s="7">
        <v>3002</v>
      </c>
      <c r="B27" s="7" t="s">
        <v>15</v>
      </c>
      <c r="C27" s="7" t="s">
        <v>41</v>
      </c>
      <c r="D27" s="7"/>
      <c r="E27" s="8"/>
      <c r="F27" s="7"/>
      <c r="G27" s="7"/>
      <c r="H27" s="7">
        <v>6</v>
      </c>
      <c r="I27" s="7"/>
      <c r="J27" s="7"/>
      <c r="K27" s="7"/>
      <c r="L27" s="7">
        <f>[1]!Tab_prProdução[[#This Row],[Horas]]-[1]!Tab_prProdução[[#This Row],[Setup]]</f>
        <v>0</v>
      </c>
      <c r="M27" s="7"/>
      <c r="N27" s="7">
        <f>IFERROR(([1]!Tab_prProdução[[#This Row],[PPM]]/[1]!Tab_prProdução[[#This Row],[Pacote por Fardo]])*60*[1]!Tab_prProdução[[#This Row],[Horas Úteis]]*[1]!Tab_prProdução[[#This Row],[Empacotadeiras]],0)</f>
        <v>0</v>
      </c>
      <c r="O27" s="9">
        <v>0</v>
      </c>
    </row>
    <row r="28" spans="1:15" x14ac:dyDescent="0.25">
      <c r="A28" s="4">
        <v>1098</v>
      </c>
      <c r="B28" s="4" t="s">
        <v>42</v>
      </c>
      <c r="C28" s="4" t="s">
        <v>43</v>
      </c>
      <c r="D28" s="4"/>
      <c r="E28" s="5"/>
      <c r="F28" s="4"/>
      <c r="G28" s="4"/>
      <c r="H28" s="4">
        <v>1</v>
      </c>
      <c r="I28" s="4"/>
      <c r="J28" s="4"/>
      <c r="K28" s="4"/>
      <c r="L28" s="4">
        <f>[1]!Tab_prProdução[[#This Row],[Horas]]-[1]!Tab_prProdução[[#This Row],[Setup]]</f>
        <v>0</v>
      </c>
      <c r="M28" s="4"/>
      <c r="N28" s="4">
        <f>IFERROR(([1]!Tab_prProdução[[#This Row],[PPM]]/[1]!Tab_prProdução[[#This Row],[Pacote por Fardo]])*60*[1]!Tab_prProdução[[#This Row],[Horas Úteis]]*[1]!Tab_prProdução[[#This Row],[Empacotadeiras]],0)</f>
        <v>0</v>
      </c>
      <c r="O28" s="6">
        <v>0</v>
      </c>
    </row>
    <row r="29" spans="1:15" x14ac:dyDescent="0.25">
      <c r="A29" s="7">
        <v>760</v>
      </c>
      <c r="B29" s="7" t="s">
        <v>15</v>
      </c>
      <c r="C29" s="7" t="s">
        <v>44</v>
      </c>
      <c r="D29" s="7"/>
      <c r="E29" s="8"/>
      <c r="F29" s="7"/>
      <c r="G29" s="7"/>
      <c r="H29" s="7">
        <v>30</v>
      </c>
      <c r="I29" s="7"/>
      <c r="J29" s="7"/>
      <c r="K29" s="7"/>
      <c r="L29" s="7">
        <f>[1]!Tab_prProdução[[#This Row],[Horas]]-[1]!Tab_prProdução[[#This Row],[Setup]]</f>
        <v>0</v>
      </c>
      <c r="M29" s="7"/>
      <c r="N29" s="7">
        <f>IFERROR(([1]!Tab_prProdução[[#This Row],[PPM]]/[1]!Tab_prProdução[[#This Row],[Pacote por Fardo]])*60*[1]!Tab_prProdução[[#This Row],[Horas Úteis]]*[1]!Tab_prProdução[[#This Row],[Empacotadeiras]],0)</f>
        <v>0</v>
      </c>
      <c r="O29" s="9">
        <v>0</v>
      </c>
    </row>
    <row r="30" spans="1:15" x14ac:dyDescent="0.25">
      <c r="A30" s="4">
        <v>107</v>
      </c>
      <c r="B30" s="4" t="s">
        <v>15</v>
      </c>
      <c r="C30" s="4" t="s">
        <v>45</v>
      </c>
      <c r="D30" s="4"/>
      <c r="E30" s="5"/>
      <c r="F30" s="4"/>
      <c r="G30" s="4"/>
      <c r="H30" s="4">
        <v>20</v>
      </c>
      <c r="I30" s="4"/>
      <c r="J30" s="4"/>
      <c r="K30" s="4"/>
      <c r="L30" s="4">
        <f>[1]!Tab_prProdução[[#This Row],[Horas]]-[1]!Tab_prProdução[[#This Row],[Setup]]</f>
        <v>0</v>
      </c>
      <c r="M30" s="4"/>
      <c r="N30" s="4">
        <f>IFERROR(([1]!Tab_prProdução[[#This Row],[PPM]]/[1]!Tab_prProdução[[#This Row],[Pacote por Fardo]])*60*[1]!Tab_prProdução[[#This Row],[Horas Úteis]]*[1]!Tab_prProdução[[#This Row],[Empacotadeiras]],0)</f>
        <v>0</v>
      </c>
      <c r="O30" s="6">
        <v>0</v>
      </c>
    </row>
    <row r="31" spans="1:15" x14ac:dyDescent="0.25">
      <c r="A31" s="7">
        <v>106</v>
      </c>
      <c r="B31" s="7" t="s">
        <v>15</v>
      </c>
      <c r="C31" s="7" t="s">
        <v>46</v>
      </c>
      <c r="D31" s="7"/>
      <c r="E31" s="8"/>
      <c r="F31" s="7"/>
      <c r="G31" s="7"/>
      <c r="H31" s="7">
        <v>20</v>
      </c>
      <c r="I31" s="7"/>
      <c r="J31" s="7"/>
      <c r="K31" s="7"/>
      <c r="L31" s="7">
        <f>[1]!Tab_prProdução[[#This Row],[Horas]]-[1]!Tab_prProdução[[#This Row],[Setup]]</f>
        <v>0</v>
      </c>
      <c r="M31" s="7"/>
      <c r="N31" s="7">
        <f>IFERROR(([1]!Tab_prProdução[[#This Row],[PPM]]/[1]!Tab_prProdução[[#This Row],[Pacote por Fardo]])*60*[1]!Tab_prProdução[[#This Row],[Horas Úteis]]*[1]!Tab_prProdução[[#This Row],[Empacotadeiras]],0)</f>
        <v>0</v>
      </c>
      <c r="O31" s="9">
        <v>0</v>
      </c>
    </row>
    <row r="32" spans="1:15" x14ac:dyDescent="0.25">
      <c r="A32" s="4">
        <v>2294</v>
      </c>
      <c r="B32" s="4" t="s">
        <v>15</v>
      </c>
      <c r="C32" s="4" t="s">
        <v>47</v>
      </c>
      <c r="D32" s="4"/>
      <c r="E32" s="5"/>
      <c r="F32" s="4"/>
      <c r="G32" s="4"/>
      <c r="H32" s="4">
        <v>1</v>
      </c>
      <c r="I32" s="4"/>
      <c r="J32" s="4"/>
      <c r="K32" s="4"/>
      <c r="L32" s="4">
        <f>[1]!Tab_prProdução[[#This Row],[Horas]]-[1]!Tab_prProdução[[#This Row],[Setup]]</f>
        <v>0</v>
      </c>
      <c r="M32" s="4"/>
      <c r="N32" s="4">
        <f>IFERROR(([1]!Tab_prProdução[[#This Row],[PPM]]/[1]!Tab_prProdução[[#This Row],[Pacote por Fardo]])*60*[1]!Tab_prProdução[[#This Row],[Horas Úteis]]*[1]!Tab_prProdução[[#This Row],[Empacotadeiras]],0)</f>
        <v>0</v>
      </c>
      <c r="O32" s="6">
        <v>0</v>
      </c>
    </row>
    <row r="33" spans="1:15" x14ac:dyDescent="0.25">
      <c r="A33" s="7">
        <v>2612</v>
      </c>
      <c r="B33" s="7" t="s">
        <v>42</v>
      </c>
      <c r="C33" s="7" t="s">
        <v>48</v>
      </c>
      <c r="D33" s="7"/>
      <c r="E33" s="8"/>
      <c r="F33" s="7"/>
      <c r="G33" s="7"/>
      <c r="H33" s="7">
        <v>1</v>
      </c>
      <c r="I33" s="7"/>
      <c r="J33" s="7"/>
      <c r="K33" s="7"/>
      <c r="L33" s="7">
        <f>[1]!Tab_prProdução[[#This Row],[Horas]]-[1]!Tab_prProdução[[#This Row],[Setup]]</f>
        <v>0</v>
      </c>
      <c r="M33" s="7"/>
      <c r="N33" s="7">
        <f>IFERROR(([1]!Tab_prProdução[[#This Row],[PPM]]/[1]!Tab_prProdução[[#This Row],[Pacote por Fardo]])*60*[1]!Tab_prProdução[[#This Row],[Horas Úteis]]*[1]!Tab_prProdução[[#This Row],[Empacotadeiras]],0)</f>
        <v>0</v>
      </c>
      <c r="O33" s="9">
        <v>0</v>
      </c>
    </row>
    <row r="34" spans="1:15" x14ac:dyDescent="0.25">
      <c r="A34" s="4">
        <v>1762</v>
      </c>
      <c r="B34" s="4" t="s">
        <v>15</v>
      </c>
      <c r="C34" s="4" t="s">
        <v>49</v>
      </c>
      <c r="D34" s="4"/>
      <c r="E34" s="5"/>
      <c r="F34" s="4"/>
      <c r="G34" s="4"/>
      <c r="H34" s="4">
        <v>27</v>
      </c>
      <c r="I34" s="4"/>
      <c r="J34" s="4"/>
      <c r="K34" s="4"/>
      <c r="L34" s="4">
        <f>[1]!Tab_prProdução[[#This Row],[Horas]]-[1]!Tab_prProdução[[#This Row],[Setup]]</f>
        <v>0</v>
      </c>
      <c r="M34" s="4"/>
      <c r="N34" s="4">
        <f>IFERROR(([1]!Tab_prProdução[[#This Row],[PPM]]/[1]!Tab_prProdução[[#This Row],[Pacote por Fardo]])*60*[1]!Tab_prProdução[[#This Row],[Horas Úteis]]*[1]!Tab_prProdução[[#This Row],[Empacotadeiras]],0)</f>
        <v>0</v>
      </c>
      <c r="O34" s="6">
        <v>0</v>
      </c>
    </row>
    <row r="35" spans="1:15" x14ac:dyDescent="0.25">
      <c r="A35" s="7">
        <v>3326</v>
      </c>
      <c r="B35" s="7" t="s">
        <v>42</v>
      </c>
      <c r="C35" s="7" t="s">
        <v>50</v>
      </c>
      <c r="D35" s="7"/>
      <c r="E35" s="8"/>
      <c r="F35" s="7"/>
      <c r="G35" s="7"/>
      <c r="H35" s="7">
        <v>1</v>
      </c>
      <c r="I35" s="7"/>
      <c r="J35" s="7"/>
      <c r="K35" s="7"/>
      <c r="L35" s="7">
        <f>[1]!Tab_prProdução[[#This Row],[Horas]]-[1]!Tab_prProdução[[#This Row],[Setup]]</f>
        <v>0</v>
      </c>
      <c r="M35" s="7"/>
      <c r="N35" s="7">
        <f>IFERROR(([1]!Tab_prProdução[[#This Row],[PPM]]/[1]!Tab_prProdução[[#This Row],[Pacote por Fardo]])*60*[1]!Tab_prProdução[[#This Row],[Horas Úteis]]*[1]!Tab_prProdução[[#This Row],[Empacotadeiras]],0)</f>
        <v>0</v>
      </c>
      <c r="O35" s="9">
        <v>0</v>
      </c>
    </row>
    <row r="36" spans="1:15" x14ac:dyDescent="0.25">
      <c r="A36" s="4">
        <v>3010</v>
      </c>
      <c r="B36" s="4" t="s">
        <v>42</v>
      </c>
      <c r="C36" s="4" t="s">
        <v>51</v>
      </c>
      <c r="D36" s="4"/>
      <c r="E36" s="5"/>
      <c r="F36" s="4"/>
      <c r="G36" s="4"/>
      <c r="H36" s="4">
        <v>1</v>
      </c>
      <c r="I36" s="4"/>
      <c r="J36" s="4"/>
      <c r="K36" s="4"/>
      <c r="L36" s="4">
        <f>[1]!Tab_prProdução[[#This Row],[Horas]]-[1]!Tab_prProdução[[#This Row],[Setup]]</f>
        <v>0</v>
      </c>
      <c r="M36" s="4"/>
      <c r="N36" s="4">
        <f>IFERROR(([1]!Tab_prProdução[[#This Row],[PPM]]/[1]!Tab_prProdução[[#This Row],[Pacote por Fardo]])*60*[1]!Tab_prProdução[[#This Row],[Horas Úteis]]*[1]!Tab_prProdução[[#This Row],[Empacotadeiras]],0)</f>
        <v>0</v>
      </c>
      <c r="O36" s="6">
        <v>0</v>
      </c>
    </row>
    <row r="37" spans="1:15" x14ac:dyDescent="0.25">
      <c r="A37" s="7">
        <v>2994</v>
      </c>
      <c r="B37" s="7" t="s">
        <v>42</v>
      </c>
      <c r="C37" s="7" t="s">
        <v>52</v>
      </c>
      <c r="D37" s="7"/>
      <c r="E37" s="8"/>
      <c r="F37" s="7"/>
      <c r="G37" s="7"/>
      <c r="H37" s="7">
        <v>1</v>
      </c>
      <c r="I37" s="7"/>
      <c r="J37" s="7"/>
      <c r="K37" s="7"/>
      <c r="L37" s="7">
        <f>[1]!Tab_prProdução[[#This Row],[Horas]]-[1]!Tab_prProdução[[#This Row],[Setup]]</f>
        <v>0</v>
      </c>
      <c r="M37" s="7"/>
      <c r="N37" s="7">
        <f>IFERROR(([1]!Tab_prProdução[[#This Row],[PPM]]/[1]!Tab_prProdução[[#This Row],[Pacote por Fardo]])*60*[1]!Tab_prProdução[[#This Row],[Horas Úteis]]*[1]!Tab_prProdução[[#This Row],[Empacotadeiras]],0)</f>
        <v>0</v>
      </c>
      <c r="O37" s="9">
        <v>0</v>
      </c>
    </row>
    <row r="38" spans="1:15" x14ac:dyDescent="0.25">
      <c r="A38" s="4">
        <v>2988</v>
      </c>
      <c r="B38" s="4" t="s">
        <v>42</v>
      </c>
      <c r="C38" s="4" t="s">
        <v>53</v>
      </c>
      <c r="D38" s="4"/>
      <c r="E38" s="5"/>
      <c r="F38" s="4"/>
      <c r="G38" s="4"/>
      <c r="H38" s="4">
        <v>1</v>
      </c>
      <c r="I38" s="4"/>
      <c r="J38" s="4"/>
      <c r="K38" s="4"/>
      <c r="L38" s="4">
        <f>[1]!Tab_prProdução[[#This Row],[Horas]]-[1]!Tab_prProdução[[#This Row],[Setup]]</f>
        <v>0</v>
      </c>
      <c r="M38" s="4"/>
      <c r="N38" s="4">
        <f>IFERROR(([1]!Tab_prProdução[[#This Row],[PPM]]/[1]!Tab_prProdução[[#This Row],[Pacote por Fardo]])*60*[1]!Tab_prProdução[[#This Row],[Horas Úteis]]*[1]!Tab_prProdução[[#This Row],[Empacotadeiras]],0)</f>
        <v>0</v>
      </c>
      <c r="O38" s="6">
        <v>0</v>
      </c>
    </row>
    <row r="39" spans="1:15" x14ac:dyDescent="0.25">
      <c r="A39" s="7">
        <v>2975</v>
      </c>
      <c r="B39" s="7" t="s">
        <v>42</v>
      </c>
      <c r="C39" s="7" t="s">
        <v>54</v>
      </c>
      <c r="D39" s="7"/>
      <c r="E39" s="8"/>
      <c r="F39" s="7"/>
      <c r="G39" s="7"/>
      <c r="H39" s="7">
        <v>1</v>
      </c>
      <c r="I39" s="7"/>
      <c r="J39" s="7"/>
      <c r="K39" s="7"/>
      <c r="L39" s="7">
        <f>[1]!Tab_prProdução[[#This Row],[Horas]]-[1]!Tab_prProdução[[#This Row],[Setup]]</f>
        <v>0</v>
      </c>
      <c r="M39" s="7"/>
      <c r="N39" s="7">
        <f>IFERROR(([1]!Tab_prProdução[[#This Row],[PPM]]/[1]!Tab_prProdução[[#This Row],[Pacote por Fardo]])*60*[1]!Tab_prProdução[[#This Row],[Horas Úteis]]*[1]!Tab_prProdução[[#This Row],[Empacotadeiras]],0)</f>
        <v>0</v>
      </c>
      <c r="O39" s="9">
        <v>0</v>
      </c>
    </row>
    <row r="40" spans="1:15" x14ac:dyDescent="0.25">
      <c r="A40" s="4">
        <v>2990</v>
      </c>
      <c r="B40" s="4" t="s">
        <v>42</v>
      </c>
      <c r="C40" s="4" t="s">
        <v>55</v>
      </c>
      <c r="D40" s="4"/>
      <c r="E40" s="5"/>
      <c r="F40" s="4"/>
      <c r="G40" s="4"/>
      <c r="H40" s="4">
        <v>1</v>
      </c>
      <c r="I40" s="4"/>
      <c r="J40" s="4"/>
      <c r="K40" s="4"/>
      <c r="L40" s="4">
        <f>[1]!Tab_prProdução[[#This Row],[Horas]]-[1]!Tab_prProdução[[#This Row],[Setup]]</f>
        <v>0</v>
      </c>
      <c r="M40" s="4"/>
      <c r="N40" s="4">
        <f>IFERROR(([1]!Tab_prProdução[[#This Row],[PPM]]/[1]!Tab_prProdução[[#This Row],[Pacote por Fardo]])*60*[1]!Tab_prProdução[[#This Row],[Horas Úteis]]*[1]!Tab_prProdução[[#This Row],[Empacotadeiras]],0)</f>
        <v>0</v>
      </c>
      <c r="O40" s="6">
        <v>0</v>
      </c>
    </row>
    <row r="41" spans="1:15" x14ac:dyDescent="0.25">
      <c r="A41" s="7">
        <v>3080</v>
      </c>
      <c r="B41" s="7" t="s">
        <v>42</v>
      </c>
      <c r="C41" s="7" t="s">
        <v>56</v>
      </c>
      <c r="D41" s="7"/>
      <c r="E41" s="8"/>
      <c r="F41" s="7"/>
      <c r="G41" s="7"/>
      <c r="H41" s="7">
        <v>1</v>
      </c>
      <c r="I41" s="7"/>
      <c r="J41" s="7"/>
      <c r="K41" s="7"/>
      <c r="L41" s="7">
        <f>[1]!Tab_prProdução[[#This Row],[Horas]]-[1]!Tab_prProdução[[#This Row],[Setup]]</f>
        <v>0</v>
      </c>
      <c r="M41" s="7"/>
      <c r="N41" s="7">
        <f>IFERROR(([1]!Tab_prProdução[[#This Row],[PPM]]/[1]!Tab_prProdução[[#This Row],[Pacote por Fardo]])*60*[1]!Tab_prProdução[[#This Row],[Horas Úteis]]*[1]!Tab_prProdução[[#This Row],[Empacotadeiras]],0)</f>
        <v>0</v>
      </c>
      <c r="O41" s="9">
        <v>0</v>
      </c>
    </row>
    <row r="42" spans="1:15" x14ac:dyDescent="0.25">
      <c r="A42" s="4">
        <v>3722</v>
      </c>
      <c r="B42" s="4" t="s">
        <v>42</v>
      </c>
      <c r="C42" s="4" t="s">
        <v>57</v>
      </c>
      <c r="D42" s="4"/>
      <c r="E42" s="5"/>
      <c r="F42" s="4"/>
      <c r="G42" s="4"/>
      <c r="H42" s="4">
        <v>1</v>
      </c>
      <c r="I42" s="4"/>
      <c r="J42" s="4"/>
      <c r="K42" s="4"/>
      <c r="L42" s="4">
        <f>[1]!Tab_prProdução[[#This Row],[Horas]]-[1]!Tab_prProdução[[#This Row],[Setup]]</f>
        <v>0</v>
      </c>
      <c r="M42" s="4"/>
      <c r="N42" s="4">
        <f>IFERROR(([1]!Tab_prProdução[[#This Row],[PPM]]/[1]!Tab_prProdução[[#This Row],[Pacote por Fardo]])*60*[1]!Tab_prProdução[[#This Row],[Horas Úteis]]*[1]!Tab_prProdução[[#This Row],[Empacotadeiras]],0)</f>
        <v>0</v>
      </c>
      <c r="O42" s="6">
        <v>0</v>
      </c>
    </row>
    <row r="43" spans="1:15" x14ac:dyDescent="0.25">
      <c r="A43" s="7">
        <v>3286</v>
      </c>
      <c r="B43" s="7" t="s">
        <v>42</v>
      </c>
      <c r="C43" s="7" t="s">
        <v>58</v>
      </c>
      <c r="D43" s="7"/>
      <c r="E43" s="8"/>
      <c r="F43" s="7"/>
      <c r="G43" s="7"/>
      <c r="H43" s="7">
        <v>1</v>
      </c>
      <c r="I43" s="7"/>
      <c r="J43" s="7"/>
      <c r="K43" s="7"/>
      <c r="L43" s="7">
        <f>[1]!Tab_prProdução[[#This Row],[Horas]]-[1]!Tab_prProdução[[#This Row],[Setup]]</f>
        <v>0</v>
      </c>
      <c r="M43" s="7"/>
      <c r="N43" s="7">
        <f>IFERROR(([1]!Tab_prProdução[[#This Row],[PPM]]/[1]!Tab_prProdução[[#This Row],[Pacote por Fardo]])*60*[1]!Tab_prProdução[[#This Row],[Horas Úteis]]*[1]!Tab_prProdução[[#This Row],[Empacotadeiras]],0)</f>
        <v>0</v>
      </c>
      <c r="O43" s="9">
        <v>0</v>
      </c>
    </row>
    <row r="44" spans="1:15" x14ac:dyDescent="0.25">
      <c r="A44" s="4">
        <v>3427</v>
      </c>
      <c r="B44" s="4" t="s">
        <v>42</v>
      </c>
      <c r="C44" s="4" t="s">
        <v>59</v>
      </c>
      <c r="D44" s="4"/>
      <c r="E44" s="5"/>
      <c r="F44" s="4"/>
      <c r="G44" s="4"/>
      <c r="H44" s="4">
        <v>1</v>
      </c>
      <c r="I44" s="4"/>
      <c r="J44" s="4"/>
      <c r="K44" s="4"/>
      <c r="L44" s="4">
        <f>[1]!Tab_prProdução[[#This Row],[Horas]]-[1]!Tab_prProdução[[#This Row],[Setup]]</f>
        <v>0</v>
      </c>
      <c r="M44" s="4"/>
      <c r="N44" s="4">
        <f>IFERROR(([1]!Tab_prProdução[[#This Row],[PPM]]/[1]!Tab_prProdução[[#This Row],[Pacote por Fardo]])*60*[1]!Tab_prProdução[[#This Row],[Horas Úteis]]*[1]!Tab_prProdução[[#This Row],[Empacotadeiras]],0)</f>
        <v>0</v>
      </c>
      <c r="O44" s="6">
        <v>0</v>
      </c>
    </row>
    <row r="45" spans="1:15" x14ac:dyDescent="0.25">
      <c r="A45" s="7">
        <v>3597</v>
      </c>
      <c r="B45" s="7" t="s">
        <v>42</v>
      </c>
      <c r="C45" s="7" t="s">
        <v>60</v>
      </c>
      <c r="D45" s="7"/>
      <c r="E45" s="8"/>
      <c r="F45" s="7"/>
      <c r="G45" s="7"/>
      <c r="H45" s="7">
        <v>1</v>
      </c>
      <c r="I45" s="7"/>
      <c r="J45" s="7"/>
      <c r="K45" s="7"/>
      <c r="L45" s="7">
        <f>[1]!Tab_prProdução[[#This Row],[Horas]]-[1]!Tab_prProdução[[#This Row],[Setup]]</f>
        <v>0</v>
      </c>
      <c r="M45" s="7"/>
      <c r="N45" s="7">
        <f>IFERROR(([1]!Tab_prProdução[[#This Row],[PPM]]/[1]!Tab_prProdução[[#This Row],[Pacote por Fardo]])*60*[1]!Tab_prProdução[[#This Row],[Horas Úteis]]*[1]!Tab_prProdução[[#This Row],[Empacotadeiras]],0)</f>
        <v>0</v>
      </c>
      <c r="O45" s="9">
        <v>0</v>
      </c>
    </row>
    <row r="46" spans="1:15" x14ac:dyDescent="0.25">
      <c r="A46" s="4">
        <v>3599</v>
      </c>
      <c r="B46" s="4" t="s">
        <v>42</v>
      </c>
      <c r="C46" s="4" t="s">
        <v>61</v>
      </c>
      <c r="D46" s="4"/>
      <c r="E46" s="5"/>
      <c r="F46" s="4"/>
      <c r="G46" s="4"/>
      <c r="H46" s="4">
        <v>1</v>
      </c>
      <c r="I46" s="4"/>
      <c r="J46" s="4"/>
      <c r="K46" s="4"/>
      <c r="L46" s="4">
        <f>[1]!Tab_prProdução[[#This Row],[Horas]]-[1]!Tab_prProdução[[#This Row],[Setup]]</f>
        <v>0</v>
      </c>
      <c r="M46" s="4"/>
      <c r="N46" s="4">
        <f>IFERROR(([1]!Tab_prProdução[[#This Row],[PPM]]/[1]!Tab_prProdução[[#This Row],[Pacote por Fardo]])*60*[1]!Tab_prProdução[[#This Row],[Horas Úteis]]*[1]!Tab_prProdução[[#This Row],[Empacotadeiras]],0)</f>
        <v>0</v>
      </c>
      <c r="O46" s="6">
        <v>0</v>
      </c>
    </row>
    <row r="47" spans="1:15" x14ac:dyDescent="0.25">
      <c r="A47" s="7">
        <v>2925</v>
      </c>
      <c r="B47" s="7" t="s">
        <v>42</v>
      </c>
      <c r="C47" s="7" t="s">
        <v>62</v>
      </c>
      <c r="D47" s="7"/>
      <c r="E47" s="8"/>
      <c r="F47" s="7"/>
      <c r="G47" s="7"/>
      <c r="H47" s="7">
        <v>1</v>
      </c>
      <c r="I47" s="7"/>
      <c r="J47" s="7"/>
      <c r="K47" s="7"/>
      <c r="L47" s="7">
        <f>[1]!Tab_prProdução[[#This Row],[Horas]]-[1]!Tab_prProdução[[#This Row],[Setup]]</f>
        <v>0</v>
      </c>
      <c r="M47" s="7"/>
      <c r="N47" s="7">
        <f>IFERROR(([1]!Tab_prProdução[[#This Row],[PPM]]/[1]!Tab_prProdução[[#This Row],[Pacote por Fardo]])*60*[1]!Tab_prProdução[[#This Row],[Horas Úteis]]*[1]!Tab_prProdução[[#This Row],[Empacotadeiras]],0)</f>
        <v>0</v>
      </c>
      <c r="O47" s="9">
        <v>0</v>
      </c>
    </row>
    <row r="48" spans="1:15" x14ac:dyDescent="0.25">
      <c r="A48" s="4">
        <v>3212</v>
      </c>
      <c r="B48" s="4" t="s">
        <v>42</v>
      </c>
      <c r="C48" s="4" t="s">
        <v>63</v>
      </c>
      <c r="D48" s="4"/>
      <c r="E48" s="5"/>
      <c r="F48" s="4"/>
      <c r="G48" s="4"/>
      <c r="H48" s="4">
        <v>1</v>
      </c>
      <c r="I48" s="4"/>
      <c r="J48" s="4"/>
      <c r="K48" s="4"/>
      <c r="L48" s="4">
        <f>[1]!Tab_prProdução[[#This Row],[Horas]]-[1]!Tab_prProdução[[#This Row],[Setup]]</f>
        <v>0</v>
      </c>
      <c r="M48" s="4"/>
      <c r="N48" s="4">
        <f>IFERROR(([1]!Tab_prProdução[[#This Row],[PPM]]/[1]!Tab_prProdução[[#This Row],[Pacote por Fardo]])*60*[1]!Tab_prProdução[[#This Row],[Horas Úteis]]*[1]!Tab_prProdução[[#This Row],[Empacotadeiras]],0)</f>
        <v>0</v>
      </c>
      <c r="O48" s="6">
        <v>0</v>
      </c>
    </row>
    <row r="49" spans="1:15" x14ac:dyDescent="0.25">
      <c r="A49" s="7">
        <v>2862</v>
      </c>
      <c r="B49" s="7" t="s">
        <v>42</v>
      </c>
      <c r="C49" s="7" t="s">
        <v>64</v>
      </c>
      <c r="D49" s="7"/>
      <c r="E49" s="8"/>
      <c r="F49" s="7"/>
      <c r="G49" s="7"/>
      <c r="H49" s="7">
        <v>1</v>
      </c>
      <c r="I49" s="7"/>
      <c r="J49" s="7"/>
      <c r="K49" s="7"/>
      <c r="L49" s="7">
        <f>[1]!Tab_prProdução[[#This Row],[Horas]]-[1]!Tab_prProdução[[#This Row],[Setup]]</f>
        <v>0</v>
      </c>
      <c r="M49" s="7"/>
      <c r="N49" s="7">
        <f>IFERROR(([1]!Tab_prProdução[[#This Row],[PPM]]/[1]!Tab_prProdução[[#This Row],[Pacote por Fardo]])*60*[1]!Tab_prProdução[[#This Row],[Horas Úteis]]*[1]!Tab_prProdução[[#This Row],[Empacotadeiras]],0)</f>
        <v>0</v>
      </c>
      <c r="O49" s="9">
        <v>0</v>
      </c>
    </row>
    <row r="50" spans="1:15" x14ac:dyDescent="0.25">
      <c r="A50" s="4">
        <v>2808</v>
      </c>
      <c r="B50" s="4" t="s">
        <v>42</v>
      </c>
      <c r="C50" s="4" t="s">
        <v>65</v>
      </c>
      <c r="D50" s="4"/>
      <c r="E50" s="5"/>
      <c r="F50" s="4"/>
      <c r="G50" s="4"/>
      <c r="H50" s="4">
        <v>1</v>
      </c>
      <c r="I50" s="4"/>
      <c r="J50" s="4"/>
      <c r="K50" s="4"/>
      <c r="L50" s="4">
        <f>[1]!Tab_prProdução[[#This Row],[Horas]]-[1]!Tab_prProdução[[#This Row],[Setup]]</f>
        <v>0</v>
      </c>
      <c r="M50" s="4"/>
      <c r="N50" s="4">
        <f>IFERROR(([1]!Tab_prProdução[[#This Row],[PPM]]/[1]!Tab_prProdução[[#This Row],[Pacote por Fardo]])*60*[1]!Tab_prProdução[[#This Row],[Horas Úteis]]*[1]!Tab_prProdução[[#This Row],[Empacotadeiras]],0)</f>
        <v>0</v>
      </c>
      <c r="O50" s="6">
        <v>0</v>
      </c>
    </row>
    <row r="51" spans="1:15" x14ac:dyDescent="0.25">
      <c r="A51" s="7">
        <v>2721</v>
      </c>
      <c r="B51" s="7" t="s">
        <v>42</v>
      </c>
      <c r="C51" s="7" t="s">
        <v>66</v>
      </c>
      <c r="D51" s="7"/>
      <c r="E51" s="8"/>
      <c r="F51" s="7"/>
      <c r="G51" s="7"/>
      <c r="H51" s="7">
        <v>1</v>
      </c>
      <c r="I51" s="7"/>
      <c r="J51" s="7"/>
      <c r="K51" s="7"/>
      <c r="L51" s="7">
        <f>[1]!Tab_prProdução[[#This Row],[Horas]]-[1]!Tab_prProdução[[#This Row],[Setup]]</f>
        <v>0</v>
      </c>
      <c r="M51" s="7"/>
      <c r="N51" s="7">
        <f>IFERROR(([1]!Tab_prProdução[[#This Row],[PPM]]/[1]!Tab_prProdução[[#This Row],[Pacote por Fardo]])*60*[1]!Tab_prProdução[[#This Row],[Horas Úteis]]*[1]!Tab_prProdução[[#This Row],[Empacotadeiras]],0)</f>
        <v>0</v>
      </c>
      <c r="O51" s="9">
        <v>0</v>
      </c>
    </row>
    <row r="52" spans="1:15" x14ac:dyDescent="0.25">
      <c r="A52" s="4">
        <v>87</v>
      </c>
      <c r="B52" s="4" t="s">
        <v>15</v>
      </c>
      <c r="C52" s="4" t="s">
        <v>67</v>
      </c>
      <c r="D52" s="4"/>
      <c r="E52" s="5"/>
      <c r="F52" s="4"/>
      <c r="G52" s="4"/>
      <c r="H52" s="4">
        <v>27</v>
      </c>
      <c r="I52" s="4"/>
      <c r="J52" s="4"/>
      <c r="K52" s="4"/>
      <c r="L52" s="4">
        <f>[1]!Tab_prProdução[[#This Row],[Horas]]-[1]!Tab_prProdução[[#This Row],[Setup]]</f>
        <v>0</v>
      </c>
      <c r="M52" s="4"/>
      <c r="N52" s="4">
        <f>IFERROR(([1]!Tab_prProdução[[#This Row],[PPM]]/[1]!Tab_prProdução[[#This Row],[Pacote por Fardo]])*60*[1]!Tab_prProdução[[#This Row],[Horas Úteis]]*[1]!Tab_prProdução[[#This Row],[Empacotadeiras]],0)</f>
        <v>0</v>
      </c>
      <c r="O52" s="6">
        <v>0</v>
      </c>
    </row>
    <row r="53" spans="1:15" x14ac:dyDescent="0.25">
      <c r="A53" s="7">
        <v>129</v>
      </c>
      <c r="B53" s="7" t="s">
        <v>42</v>
      </c>
      <c r="C53" s="7" t="s">
        <v>68</v>
      </c>
      <c r="D53" s="7"/>
      <c r="E53" s="8"/>
      <c r="F53" s="7"/>
      <c r="G53" s="7"/>
      <c r="H53" s="7">
        <v>30</v>
      </c>
      <c r="I53" s="7"/>
      <c r="J53" s="7"/>
      <c r="K53" s="7"/>
      <c r="L53" s="7">
        <f>[1]!Tab_prProdução[[#This Row],[Horas]]-[1]!Tab_prProdução[[#This Row],[Setup]]</f>
        <v>0</v>
      </c>
      <c r="M53" s="7"/>
      <c r="N53" s="7">
        <f>IFERROR(([1]!Tab_prProdução[[#This Row],[PPM]]/[1]!Tab_prProdução[[#This Row],[Pacote por Fardo]])*60*[1]!Tab_prProdução[[#This Row],[Horas Úteis]]*[1]!Tab_prProdução[[#This Row],[Empacotadeiras]],0)</f>
        <v>0</v>
      </c>
      <c r="O53" s="9">
        <v>0</v>
      </c>
    </row>
    <row r="54" spans="1:15" x14ac:dyDescent="0.25">
      <c r="A54" s="4">
        <v>225</v>
      </c>
      <c r="B54" s="4" t="s">
        <v>42</v>
      </c>
      <c r="C54" s="4" t="s">
        <v>69</v>
      </c>
      <c r="D54" s="4"/>
      <c r="E54" s="5"/>
      <c r="F54" s="4"/>
      <c r="G54" s="4"/>
      <c r="H54" s="4">
        <v>1</v>
      </c>
      <c r="I54" s="4"/>
      <c r="J54" s="4"/>
      <c r="K54" s="4"/>
      <c r="L54" s="4">
        <f>[1]!Tab_prProdução[[#This Row],[Horas]]-[1]!Tab_prProdução[[#This Row],[Setup]]</f>
        <v>0</v>
      </c>
      <c r="M54" s="4"/>
      <c r="N54" s="4">
        <f>IFERROR(([1]!Tab_prProdução[[#This Row],[PPM]]/[1]!Tab_prProdução[[#This Row],[Pacote por Fardo]])*60*[1]!Tab_prProdução[[#This Row],[Horas Úteis]]*[1]!Tab_prProdução[[#This Row],[Empacotadeiras]],0)</f>
        <v>0</v>
      </c>
      <c r="O54" s="6">
        <v>0</v>
      </c>
    </row>
    <row r="55" spans="1:15" x14ac:dyDescent="0.25">
      <c r="A55" s="7">
        <v>737</v>
      </c>
      <c r="B55" s="7" t="s">
        <v>42</v>
      </c>
      <c r="C55" s="7" t="s">
        <v>70</v>
      </c>
      <c r="D55" s="7"/>
      <c r="E55" s="8"/>
      <c r="F55" s="7"/>
      <c r="G55" s="7"/>
      <c r="H55" s="7">
        <v>1</v>
      </c>
      <c r="I55" s="7"/>
      <c r="J55" s="7"/>
      <c r="K55" s="7"/>
      <c r="L55" s="7">
        <f>[1]!Tab_prProdução[[#This Row],[Horas]]-[1]!Tab_prProdução[[#This Row],[Setup]]</f>
        <v>0</v>
      </c>
      <c r="M55" s="7"/>
      <c r="N55" s="7">
        <f>IFERROR(([1]!Tab_prProdução[[#This Row],[PPM]]/[1]!Tab_prProdução[[#This Row],[Pacote por Fardo]])*60*[1]!Tab_prProdução[[#This Row],[Horas Úteis]]*[1]!Tab_prProdução[[#This Row],[Empacotadeiras]],0)</f>
        <v>0</v>
      </c>
      <c r="O55" s="9">
        <v>0</v>
      </c>
    </row>
    <row r="56" spans="1:15" x14ac:dyDescent="0.25">
      <c r="A56" s="4">
        <v>916</v>
      </c>
      <c r="B56" s="4" t="s">
        <v>42</v>
      </c>
      <c r="C56" s="4" t="s">
        <v>71</v>
      </c>
      <c r="D56" s="4"/>
      <c r="E56" s="5"/>
      <c r="F56" s="4"/>
      <c r="G56" s="4"/>
      <c r="H56" s="4">
        <v>1</v>
      </c>
      <c r="I56" s="4"/>
      <c r="J56" s="4"/>
      <c r="K56" s="4"/>
      <c r="L56" s="4">
        <f>[1]!Tab_prProdução[[#This Row],[Horas]]-[1]!Tab_prProdução[[#This Row],[Setup]]</f>
        <v>0</v>
      </c>
      <c r="M56" s="4"/>
      <c r="N56" s="4">
        <f>IFERROR(([1]!Tab_prProdução[[#This Row],[PPM]]/[1]!Tab_prProdução[[#This Row],[Pacote por Fardo]])*60*[1]!Tab_prProdução[[#This Row],[Horas Úteis]]*[1]!Tab_prProdução[[#This Row],[Empacotadeiras]],0)</f>
        <v>0</v>
      </c>
      <c r="O56" s="6">
        <v>0</v>
      </c>
    </row>
    <row r="57" spans="1:15" x14ac:dyDescent="0.25">
      <c r="A57" s="7">
        <v>1090</v>
      </c>
      <c r="B57" s="7" t="s">
        <v>42</v>
      </c>
      <c r="C57" s="7" t="s">
        <v>72</v>
      </c>
      <c r="D57" s="7"/>
      <c r="E57" s="8"/>
      <c r="F57" s="7"/>
      <c r="G57" s="7"/>
      <c r="H57" s="7">
        <v>1</v>
      </c>
      <c r="I57" s="7"/>
      <c r="J57" s="7"/>
      <c r="K57" s="7"/>
      <c r="L57" s="7">
        <f>[1]!Tab_prProdução[[#This Row],[Horas]]-[1]!Tab_prProdução[[#This Row],[Setup]]</f>
        <v>0</v>
      </c>
      <c r="M57" s="7"/>
      <c r="N57" s="7">
        <f>IFERROR(([1]!Tab_prProdução[[#This Row],[PPM]]/[1]!Tab_prProdução[[#This Row],[Pacote por Fardo]])*60*[1]!Tab_prProdução[[#This Row],[Horas Úteis]]*[1]!Tab_prProdução[[#This Row],[Empacotadeiras]],0)</f>
        <v>0</v>
      </c>
      <c r="O57" s="9">
        <v>0</v>
      </c>
    </row>
    <row r="58" spans="1:15" x14ac:dyDescent="0.25">
      <c r="A58" s="4">
        <v>1217</v>
      </c>
      <c r="B58" s="4" t="s">
        <v>42</v>
      </c>
      <c r="C58" s="4" t="s">
        <v>73</v>
      </c>
      <c r="D58" s="4"/>
      <c r="E58" s="5"/>
      <c r="F58" s="4"/>
      <c r="G58" s="4"/>
      <c r="H58" s="4">
        <v>1</v>
      </c>
      <c r="I58" s="4"/>
      <c r="J58" s="4"/>
      <c r="K58" s="4"/>
      <c r="L58" s="4">
        <f>[1]!Tab_prProdução[[#This Row],[Horas]]-[1]!Tab_prProdução[[#This Row],[Setup]]</f>
        <v>0</v>
      </c>
      <c r="M58" s="4"/>
      <c r="N58" s="4">
        <f>IFERROR(([1]!Tab_prProdução[[#This Row],[PPM]]/[1]!Tab_prProdução[[#This Row],[Pacote por Fardo]])*60*[1]!Tab_prProdução[[#This Row],[Horas Úteis]]*[1]!Tab_prProdução[[#This Row],[Empacotadeiras]],0)</f>
        <v>0</v>
      </c>
      <c r="O58" s="6">
        <v>0</v>
      </c>
    </row>
    <row r="59" spans="1:15" x14ac:dyDescent="0.25">
      <c r="A59" s="7">
        <v>1225</v>
      </c>
      <c r="B59" s="7" t="s">
        <v>42</v>
      </c>
      <c r="C59" s="7" t="s">
        <v>74</v>
      </c>
      <c r="D59" s="7"/>
      <c r="E59" s="8"/>
      <c r="F59" s="7"/>
      <c r="G59" s="7"/>
      <c r="H59" s="7">
        <v>1</v>
      </c>
      <c r="I59" s="7"/>
      <c r="J59" s="7"/>
      <c r="K59" s="7"/>
      <c r="L59" s="7">
        <f>[1]!Tab_prProdução[[#This Row],[Horas]]-[1]!Tab_prProdução[[#This Row],[Setup]]</f>
        <v>0</v>
      </c>
      <c r="M59" s="7"/>
      <c r="N59" s="7">
        <f>IFERROR(([1]!Tab_prProdução[[#This Row],[PPM]]/[1]!Tab_prProdução[[#This Row],[Pacote por Fardo]])*60*[1]!Tab_prProdução[[#This Row],[Horas Úteis]]*[1]!Tab_prProdução[[#This Row],[Empacotadeiras]],0)</f>
        <v>0</v>
      </c>
      <c r="O59" s="9">
        <v>0</v>
      </c>
    </row>
    <row r="60" spans="1:15" x14ac:dyDescent="0.25">
      <c r="A60" s="4">
        <v>1227</v>
      </c>
      <c r="B60" s="4" t="s">
        <v>42</v>
      </c>
      <c r="C60" s="4" t="s">
        <v>75</v>
      </c>
      <c r="D60" s="4"/>
      <c r="E60" s="5"/>
      <c r="F60" s="4"/>
      <c r="G60" s="4"/>
      <c r="H60" s="4">
        <v>1</v>
      </c>
      <c r="I60" s="4"/>
      <c r="J60" s="4"/>
      <c r="K60" s="4"/>
      <c r="L60" s="4">
        <f>[1]!Tab_prProdução[[#This Row],[Horas]]-[1]!Tab_prProdução[[#This Row],[Setup]]</f>
        <v>0</v>
      </c>
      <c r="M60" s="4"/>
      <c r="N60" s="4">
        <f>IFERROR(([1]!Tab_prProdução[[#This Row],[PPM]]/[1]!Tab_prProdução[[#This Row],[Pacote por Fardo]])*60*[1]!Tab_prProdução[[#This Row],[Horas Úteis]]*[1]!Tab_prProdução[[#This Row],[Empacotadeiras]],0)</f>
        <v>0</v>
      </c>
      <c r="O60" s="6">
        <v>0</v>
      </c>
    </row>
    <row r="61" spans="1:15" x14ac:dyDescent="0.25">
      <c r="A61" s="7">
        <v>1230</v>
      </c>
      <c r="B61" s="7" t="s">
        <v>42</v>
      </c>
      <c r="C61" s="7" t="s">
        <v>76</v>
      </c>
      <c r="D61" s="7"/>
      <c r="E61" s="8"/>
      <c r="F61" s="7"/>
      <c r="G61" s="7"/>
      <c r="H61" s="7">
        <v>1</v>
      </c>
      <c r="I61" s="7"/>
      <c r="J61" s="7"/>
      <c r="K61" s="7"/>
      <c r="L61" s="7">
        <f>[1]!Tab_prProdução[[#This Row],[Horas]]-[1]!Tab_prProdução[[#This Row],[Setup]]</f>
        <v>0</v>
      </c>
      <c r="M61" s="7"/>
      <c r="N61" s="7">
        <f>IFERROR(([1]!Tab_prProdução[[#This Row],[PPM]]/[1]!Tab_prProdução[[#This Row],[Pacote por Fardo]])*60*[1]!Tab_prProdução[[#This Row],[Horas Úteis]]*[1]!Tab_prProdução[[#This Row],[Empacotadeiras]],0)</f>
        <v>0</v>
      </c>
      <c r="O61" s="9">
        <v>0</v>
      </c>
    </row>
    <row r="62" spans="1:15" x14ac:dyDescent="0.25">
      <c r="A62" s="4">
        <v>77</v>
      </c>
      <c r="B62" s="4" t="s">
        <v>42</v>
      </c>
      <c r="C62" s="4" t="s">
        <v>77</v>
      </c>
      <c r="D62" s="4"/>
      <c r="E62" s="5"/>
      <c r="F62" s="4"/>
      <c r="G62" s="4"/>
      <c r="H62" s="4">
        <v>1</v>
      </c>
      <c r="I62" s="4"/>
      <c r="J62" s="4"/>
      <c r="K62" s="4"/>
      <c r="L62" s="4">
        <f>[1]!Tab_prProdução[[#This Row],[Horas]]-[1]!Tab_prProdução[[#This Row],[Setup]]</f>
        <v>0</v>
      </c>
      <c r="M62" s="4"/>
      <c r="N62" s="4">
        <f>IFERROR(([1]!Tab_prProdução[[#This Row],[PPM]]/[1]!Tab_prProdução[[#This Row],[Pacote por Fardo]])*60*[1]!Tab_prProdução[[#This Row],[Horas Úteis]]*[1]!Tab_prProdução[[#This Row],[Empacotadeiras]],0)</f>
        <v>0</v>
      </c>
      <c r="O62" s="6">
        <v>0</v>
      </c>
    </row>
    <row r="63" spans="1:15" x14ac:dyDescent="0.25">
      <c r="A63" s="7">
        <v>1231</v>
      </c>
      <c r="B63" s="7" t="s">
        <v>42</v>
      </c>
      <c r="C63" s="7" t="s">
        <v>78</v>
      </c>
      <c r="D63" s="7"/>
      <c r="E63" s="8"/>
      <c r="F63" s="7"/>
      <c r="G63" s="7"/>
      <c r="H63" s="7">
        <v>1</v>
      </c>
      <c r="I63" s="7"/>
      <c r="J63" s="7"/>
      <c r="K63" s="7"/>
      <c r="L63" s="7">
        <f>[1]!Tab_prProdução[[#This Row],[Horas]]-[1]!Tab_prProdução[[#This Row],[Setup]]</f>
        <v>0</v>
      </c>
      <c r="M63" s="7"/>
      <c r="N63" s="7">
        <f>IFERROR(([1]!Tab_prProdução[[#This Row],[PPM]]/[1]!Tab_prProdução[[#This Row],[Pacote por Fardo]])*60*[1]!Tab_prProdução[[#This Row],[Horas Úteis]]*[1]!Tab_prProdução[[#This Row],[Empacotadeiras]],0)</f>
        <v>0</v>
      </c>
      <c r="O63" s="9">
        <v>0</v>
      </c>
    </row>
    <row r="64" spans="1:15" x14ac:dyDescent="0.25">
      <c r="A64" s="4">
        <v>1982</v>
      </c>
      <c r="B64" s="4" t="s">
        <v>42</v>
      </c>
      <c r="C64" s="4" t="s">
        <v>79</v>
      </c>
      <c r="D64" s="4"/>
      <c r="E64" s="5"/>
      <c r="F64" s="4"/>
      <c r="G64" s="4"/>
      <c r="H64" s="4">
        <v>1</v>
      </c>
      <c r="I64" s="4"/>
      <c r="J64" s="4"/>
      <c r="K64" s="4"/>
      <c r="L64" s="4">
        <f>[1]!Tab_prProdução[[#This Row],[Horas]]-[1]!Tab_prProdução[[#This Row],[Setup]]</f>
        <v>0</v>
      </c>
      <c r="M64" s="4"/>
      <c r="N64" s="4">
        <f>IFERROR(([1]!Tab_prProdução[[#This Row],[PPM]]/[1]!Tab_prProdução[[#This Row],[Pacote por Fardo]])*60*[1]!Tab_prProdução[[#This Row],[Horas Úteis]]*[1]!Tab_prProdução[[#This Row],[Empacotadeiras]],0)</f>
        <v>0</v>
      </c>
      <c r="O64" s="6">
        <v>0</v>
      </c>
    </row>
    <row r="65" spans="1:15" x14ac:dyDescent="0.25">
      <c r="A65" s="7">
        <v>1610</v>
      </c>
      <c r="B65" s="7" t="s">
        <v>42</v>
      </c>
      <c r="C65" s="7" t="s">
        <v>80</v>
      </c>
      <c r="D65" s="7"/>
      <c r="E65" s="8"/>
      <c r="F65" s="7"/>
      <c r="G65" s="7"/>
      <c r="H65" s="7">
        <v>1</v>
      </c>
      <c r="I65" s="7"/>
      <c r="J65" s="7"/>
      <c r="K65" s="7"/>
      <c r="L65" s="7">
        <f>[1]!Tab_prProdução[[#This Row],[Horas]]-[1]!Tab_prProdução[[#This Row],[Setup]]</f>
        <v>0</v>
      </c>
      <c r="M65" s="7"/>
      <c r="N65" s="7">
        <f>IFERROR(([1]!Tab_prProdução[[#This Row],[PPM]]/[1]!Tab_prProdução[[#This Row],[Pacote por Fardo]])*60*[1]!Tab_prProdução[[#This Row],[Horas Úteis]]*[1]!Tab_prProdução[[#This Row],[Empacotadeiras]],0)</f>
        <v>0</v>
      </c>
      <c r="O65" s="9">
        <v>0</v>
      </c>
    </row>
    <row r="66" spans="1:15" x14ac:dyDescent="0.25">
      <c r="A66" s="4">
        <v>2290</v>
      </c>
      <c r="B66" s="4" t="s">
        <v>42</v>
      </c>
      <c r="C66" s="4" t="s">
        <v>81</v>
      </c>
      <c r="D66" s="4"/>
      <c r="E66" s="5"/>
      <c r="F66" s="4"/>
      <c r="G66" s="4"/>
      <c r="H66" s="4">
        <v>1</v>
      </c>
      <c r="I66" s="4"/>
      <c r="J66" s="4"/>
      <c r="K66" s="4"/>
      <c r="L66" s="4">
        <f>[1]!Tab_prProdução[[#This Row],[Horas]]-[1]!Tab_prProdução[[#This Row],[Setup]]</f>
        <v>0</v>
      </c>
      <c r="M66" s="4"/>
      <c r="N66" s="4">
        <f>IFERROR(([1]!Tab_prProdução[[#This Row],[PPM]]/[1]!Tab_prProdução[[#This Row],[Pacote por Fardo]])*60*[1]!Tab_prProdução[[#This Row],[Horas Úteis]]*[1]!Tab_prProdução[[#This Row],[Empacotadeiras]],0)</f>
        <v>0</v>
      </c>
      <c r="O66" s="6">
        <v>0</v>
      </c>
    </row>
    <row r="67" spans="1:15" x14ac:dyDescent="0.25">
      <c r="A67" s="7">
        <v>2402</v>
      </c>
      <c r="B67" s="7" t="s">
        <v>42</v>
      </c>
      <c r="C67" s="7" t="s">
        <v>82</v>
      </c>
      <c r="D67" s="7"/>
      <c r="E67" s="8"/>
      <c r="F67" s="7"/>
      <c r="G67" s="7"/>
      <c r="H67" s="7">
        <v>1</v>
      </c>
      <c r="I67" s="7"/>
      <c r="J67" s="7"/>
      <c r="K67" s="7"/>
      <c r="L67" s="7">
        <f>[1]!Tab_prProdução[[#This Row],[Horas]]-[1]!Tab_prProdução[[#This Row],[Setup]]</f>
        <v>0</v>
      </c>
      <c r="M67" s="7"/>
      <c r="N67" s="7">
        <f>IFERROR(([1]!Tab_prProdução[[#This Row],[PPM]]/[1]!Tab_prProdução[[#This Row],[Pacote por Fardo]])*60*[1]!Tab_prProdução[[#This Row],[Horas Úteis]]*[1]!Tab_prProdução[[#This Row],[Empacotadeiras]],0)</f>
        <v>0</v>
      </c>
      <c r="O67" s="9">
        <v>0</v>
      </c>
    </row>
    <row r="68" spans="1:15" x14ac:dyDescent="0.25">
      <c r="A68" s="4">
        <v>2446</v>
      </c>
      <c r="B68" s="4" t="s">
        <v>42</v>
      </c>
      <c r="C68" s="4" t="s">
        <v>83</v>
      </c>
      <c r="D68" s="4"/>
      <c r="E68" s="5"/>
      <c r="F68" s="4"/>
      <c r="G68" s="4"/>
      <c r="H68" s="4">
        <v>1</v>
      </c>
      <c r="I68" s="4"/>
      <c r="J68" s="4"/>
      <c r="K68" s="4"/>
      <c r="L68" s="4">
        <f>[1]!Tab_prProdução[[#This Row],[Horas]]-[1]!Tab_prProdução[[#This Row],[Setup]]</f>
        <v>0</v>
      </c>
      <c r="M68" s="4"/>
      <c r="N68" s="4">
        <f>IFERROR(([1]!Tab_prProdução[[#This Row],[PPM]]/[1]!Tab_prProdução[[#This Row],[Pacote por Fardo]])*60*[1]!Tab_prProdução[[#This Row],[Horas Úteis]]*[1]!Tab_prProdução[[#This Row],[Empacotadeiras]],0)</f>
        <v>0</v>
      </c>
      <c r="O68" s="6">
        <v>0</v>
      </c>
    </row>
    <row r="69" spans="1:15" x14ac:dyDescent="0.25">
      <c r="A69" s="7">
        <v>2491</v>
      </c>
      <c r="B69" s="7" t="s">
        <v>42</v>
      </c>
      <c r="C69" s="7" t="s">
        <v>84</v>
      </c>
      <c r="D69" s="7"/>
      <c r="E69" s="8"/>
      <c r="F69" s="7"/>
      <c r="G69" s="7"/>
      <c r="H69" s="7">
        <v>1</v>
      </c>
      <c r="I69" s="7"/>
      <c r="J69" s="7"/>
      <c r="K69" s="7"/>
      <c r="L69" s="7">
        <f>[1]!Tab_prProdução[[#This Row],[Horas]]-[1]!Tab_prProdução[[#This Row],[Setup]]</f>
        <v>0</v>
      </c>
      <c r="M69" s="7"/>
      <c r="N69" s="7">
        <f>IFERROR(([1]!Tab_prProdução[[#This Row],[PPM]]/[1]!Tab_prProdução[[#This Row],[Pacote por Fardo]])*60*[1]!Tab_prProdução[[#This Row],[Horas Úteis]]*[1]!Tab_prProdução[[#This Row],[Empacotadeiras]],0)</f>
        <v>0</v>
      </c>
      <c r="O69" s="9">
        <v>0</v>
      </c>
    </row>
    <row r="70" spans="1:15" x14ac:dyDescent="0.25">
      <c r="A70" s="4">
        <v>2635</v>
      </c>
      <c r="B70" s="4" t="s">
        <v>42</v>
      </c>
      <c r="C70" s="4" t="s">
        <v>85</v>
      </c>
      <c r="D70" s="4"/>
      <c r="E70" s="5"/>
      <c r="F70" s="4"/>
      <c r="G70" s="4"/>
      <c r="H70" s="4">
        <v>1</v>
      </c>
      <c r="I70" s="4"/>
      <c r="J70" s="4"/>
      <c r="K70" s="4"/>
      <c r="L70" s="4">
        <f>[1]!Tab_prProdução[[#This Row],[Horas]]-[1]!Tab_prProdução[[#This Row],[Setup]]</f>
        <v>0</v>
      </c>
      <c r="M70" s="4"/>
      <c r="N70" s="4">
        <f>IFERROR(([1]!Tab_prProdução[[#This Row],[PPM]]/[1]!Tab_prProdução[[#This Row],[Pacote por Fardo]])*60*[1]!Tab_prProdução[[#This Row],[Horas Úteis]]*[1]!Tab_prProdução[[#This Row],[Empacotadeiras]],0)</f>
        <v>0</v>
      </c>
      <c r="O70" s="6">
        <v>0</v>
      </c>
    </row>
    <row r="71" spans="1:15" x14ac:dyDescent="0.25">
      <c r="A71" s="7">
        <v>1602</v>
      </c>
      <c r="B71" s="7" t="s">
        <v>42</v>
      </c>
      <c r="C71" s="7" t="s">
        <v>86</v>
      </c>
      <c r="D71" s="7"/>
      <c r="E71" s="8"/>
      <c r="F71" s="7"/>
      <c r="G71" s="7"/>
      <c r="H71" s="7">
        <v>1</v>
      </c>
      <c r="I71" s="7"/>
      <c r="J71" s="7"/>
      <c r="K71" s="7"/>
      <c r="L71" s="7">
        <f>[1]!Tab_prProdução[[#This Row],[Horas]]-[1]!Tab_prProdução[[#This Row],[Setup]]</f>
        <v>0</v>
      </c>
      <c r="M71" s="7"/>
      <c r="N71" s="7">
        <f>IFERROR(([1]!Tab_prProdução[[#This Row],[PPM]]/[1]!Tab_prProdução[[#This Row],[Pacote por Fardo]])*60*[1]!Tab_prProdução[[#This Row],[Horas Úteis]]*[1]!Tab_prProdução[[#This Row],[Empacotadeiras]],0)</f>
        <v>0</v>
      </c>
      <c r="O71" s="9">
        <v>0</v>
      </c>
    </row>
    <row r="72" spans="1:15" x14ac:dyDescent="0.25">
      <c r="A72" s="4">
        <v>1237</v>
      </c>
      <c r="B72" s="4" t="s">
        <v>42</v>
      </c>
      <c r="C72" s="4" t="s">
        <v>87</v>
      </c>
      <c r="D72" s="4"/>
      <c r="E72" s="5"/>
      <c r="F72" s="4"/>
      <c r="G72" s="4"/>
      <c r="H72" s="4">
        <v>1</v>
      </c>
      <c r="I72" s="4"/>
      <c r="J72" s="4"/>
      <c r="K72" s="4"/>
      <c r="L72" s="4">
        <f>[1]!Tab_prProdução[[#This Row],[Horas]]-[1]!Tab_prProdução[[#This Row],[Setup]]</f>
        <v>0</v>
      </c>
      <c r="M72" s="4"/>
      <c r="N72" s="4">
        <f>IFERROR(([1]!Tab_prProdução[[#This Row],[PPM]]/[1]!Tab_prProdução[[#This Row],[Pacote por Fardo]])*60*[1]!Tab_prProdução[[#This Row],[Horas Úteis]]*[1]!Tab_prProdução[[#This Row],[Empacotadeiras]],0)</f>
        <v>0</v>
      </c>
      <c r="O72" s="6">
        <v>0</v>
      </c>
    </row>
    <row r="73" spans="1:15" x14ac:dyDescent="0.25">
      <c r="A73" s="7">
        <v>298</v>
      </c>
      <c r="B73" s="7" t="s">
        <v>15</v>
      </c>
      <c r="C73" s="7" t="s">
        <v>88</v>
      </c>
      <c r="D73" s="7"/>
      <c r="E73" s="8"/>
      <c r="F73" s="7"/>
      <c r="G73" s="7"/>
      <c r="H73" s="7">
        <v>1</v>
      </c>
      <c r="I73" s="7"/>
      <c r="J73" s="7"/>
      <c r="K73" s="7"/>
      <c r="L73" s="7">
        <f>[1]!Tab_prProdução[[#This Row],[Horas]]-[1]!Tab_prProdução[[#This Row],[Setup]]</f>
        <v>0</v>
      </c>
      <c r="M73" s="7"/>
      <c r="N73" s="7">
        <f>IFERROR(([1]!Tab_prProdução[[#This Row],[PPM]]/[1]!Tab_prProdução[[#This Row],[Pacote por Fardo]])*60*[1]!Tab_prProdução[[#This Row],[Horas Úteis]]*[1]!Tab_prProdução[[#This Row],[Empacotadeiras]],0)</f>
        <v>0</v>
      </c>
      <c r="O73" s="9">
        <v>0</v>
      </c>
    </row>
    <row r="74" spans="1:15" x14ac:dyDescent="0.25">
      <c r="A74" s="4">
        <v>3643</v>
      </c>
      <c r="B74" s="4" t="s">
        <v>15</v>
      </c>
      <c r="C74" s="4" t="s">
        <v>89</v>
      </c>
      <c r="D74" s="4">
        <v>30</v>
      </c>
      <c r="E74" s="5"/>
      <c r="F74" s="4"/>
      <c r="G74" s="4"/>
      <c r="H74" s="4">
        <v>30</v>
      </c>
      <c r="I74" s="4"/>
      <c r="J74" s="4"/>
      <c r="K74" s="4"/>
      <c r="L74" s="4">
        <f>[1]!Tab_prProdução[[#This Row],[Horas]]-[1]!Tab_prProdução[[#This Row],[Setup]]</f>
        <v>0</v>
      </c>
      <c r="M74" s="4"/>
      <c r="N74" s="4">
        <f>IFERROR(([1]!Tab_prProdução[[#This Row],[PPM]]/[1]!Tab_prProdução[[#This Row],[Pacote por Fardo]])*60*[1]!Tab_prProdução[[#This Row],[Horas Úteis]]*[1]!Tab_prProdução[[#This Row],[Empacotadeiras]],0)</f>
        <v>0</v>
      </c>
      <c r="O74" s="6">
        <v>0</v>
      </c>
    </row>
    <row r="75" spans="1:15" x14ac:dyDescent="0.25">
      <c r="A75" s="7">
        <v>3645</v>
      </c>
      <c r="B75" s="7" t="s">
        <v>15</v>
      </c>
      <c r="C75" s="7" t="s">
        <v>90</v>
      </c>
      <c r="D75" s="7">
        <v>30</v>
      </c>
      <c r="E75" s="8">
        <v>1.4</v>
      </c>
      <c r="F75" s="7">
        <v>42</v>
      </c>
      <c r="G75" s="7">
        <v>2</v>
      </c>
      <c r="H75" s="7">
        <v>15</v>
      </c>
      <c r="I75" s="7"/>
      <c r="J75" s="7"/>
      <c r="K75" s="7"/>
      <c r="L75" s="7">
        <f>[1]!Tab_prProdução[[#This Row],[Horas]]-[1]!Tab_prProdução[[#This Row],[Setup]]</f>
        <v>0</v>
      </c>
      <c r="M75" s="7"/>
      <c r="N75" s="7">
        <f>IFERROR(([1]!Tab_prProdução[[#This Row],[PPM]]/[1]!Tab_prProdução[[#This Row],[Pacote por Fardo]])*60*[1]!Tab_prProdução[[#This Row],[Horas Úteis]]*[1]!Tab_prProdução[[#This Row],[Empacotadeiras]],0)</f>
        <v>0</v>
      </c>
      <c r="O75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Magalhães Barros</dc:creator>
  <cp:lastModifiedBy>Henrique Magalhães Barros</cp:lastModifiedBy>
  <dcterms:created xsi:type="dcterms:W3CDTF">2026-02-23T13:46:44Z</dcterms:created>
  <dcterms:modified xsi:type="dcterms:W3CDTF">2026-02-23T13:47:41Z</dcterms:modified>
</cp:coreProperties>
</file>